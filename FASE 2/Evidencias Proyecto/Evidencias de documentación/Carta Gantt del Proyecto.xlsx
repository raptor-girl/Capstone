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ta Gantt" sheetId="1" r:id="rId5"/>
    <sheet state="visible" name="Referencias" sheetId="2" r:id="rId6"/>
  </sheets>
  <definedNames/>
  <calcPr/>
</workbook>
</file>

<file path=xl/sharedStrings.xml><?xml version="1.0" encoding="utf-8"?>
<sst xmlns="http://schemas.openxmlformats.org/spreadsheetml/2006/main" count="307" uniqueCount="203">
  <si>
    <t>PROYECTO SYNTRO</t>
  </si>
  <si>
    <t>REFERENCIAS</t>
  </si>
  <si>
    <t>CARTA GANTT DEL PROYECTO · PLAN BASE DE 26 SEMANAS</t>
  </si>
  <si>
    <t>Tipo</t>
  </si>
  <si>
    <t>Uso</t>
  </si>
  <si>
    <t>URL</t>
  </si>
  <si>
    <t>Smartsheet</t>
  </si>
  <si>
    <t>Código documental</t>
  </si>
  <si>
    <t>WBS + Gantt</t>
  </si>
  <si>
    <t>Referencia visual principal para encabezados por fase, columnas de tarea y grilla temporal.</t>
  </si>
  <si>
    <t>https://es.smartsheet.com/sites/default/files/styles/1300px/public/2025-05/IC-Work-Breakdown-Structure-with-Gantt-Chart-8721_Template.webp?itok=XK8AxVMU</t>
  </si>
  <si>
    <t>Plantillas WBS</t>
  </si>
  <si>
    <t>Referencia complementaria para estructura de desglose y jerarquía.</t>
  </si>
  <si>
    <t>https://es.smartsheet.com/free-work-breakdown-structure-templates</t>
  </si>
  <si>
    <t>SYNTRO-PM-003</t>
  </si>
  <si>
    <t>SYNTRO</t>
  </si>
  <si>
    <t>EDT del proyecto</t>
  </si>
  <si>
    <t>La numeración y los paquetes de trabajo de esta Carta Gantt provienen de la EDT formal SYNTRO-PM-002.</t>
  </si>
  <si>
    <t>EDT - Hitos de desarrollo y diccionario (WBS)</t>
  </si>
  <si>
    <t>Metodología</t>
  </si>
  <si>
    <t>Cascada (SDLC)</t>
  </si>
  <si>
    <t>Versión</t>
  </si>
  <si>
    <t>v0.1 · Borrador controlado</t>
  </si>
  <si>
    <t>Organización beneficiaria</t>
  </si>
  <si>
    <t>Hospital Dr. Sótero del Río</t>
  </si>
  <si>
    <t>Horizonte</t>
  </si>
  <si>
    <t>26 semanas (~6 meses)</t>
  </si>
  <si>
    <t>Fecha base</t>
  </si>
  <si>
    <t>10-08-2026</t>
  </si>
  <si>
    <t>Cronograma orientado al proyecto para cliente; no corresponde al backlog académico interno. Fechas sujetas a validación final con contraparte.</t>
  </si>
  <si>
    <t>Gestión y Planificación</t>
  </si>
  <si>
    <t>Análisis y Requisitos</t>
  </si>
  <si>
    <t>Diseño</t>
  </si>
  <si>
    <t>Construcción y Desarrollo</t>
  </si>
  <si>
    <t>Pruebas y Calidad</t>
  </si>
  <si>
    <t>Implantación y Cierre</t>
  </si>
  <si>
    <t>Sem 1
10/08</t>
  </si>
  <si>
    <t>Sem 2
17/08</t>
  </si>
  <si>
    <t>Sem 3
24/08</t>
  </si>
  <si>
    <t>Sem 4
31/08</t>
  </si>
  <si>
    <t>Sem 5
07/09</t>
  </si>
  <si>
    <t>Sem 6
14/09</t>
  </si>
  <si>
    <t>Sem 7
21/09</t>
  </si>
  <si>
    <t>Sem 8
28/09</t>
  </si>
  <si>
    <t>Sem 9
05/10</t>
  </si>
  <si>
    <t>Sem 10
12/10</t>
  </si>
  <si>
    <t>Sem 11
19/10</t>
  </si>
  <si>
    <t>Sem 12
26/10</t>
  </si>
  <si>
    <t>Sem 13
02/11</t>
  </si>
  <si>
    <t>Sem 14
09/11</t>
  </si>
  <si>
    <t>Sem 15
16/11</t>
  </si>
  <si>
    <t>Sem 16
23/11</t>
  </si>
  <si>
    <t>Sem 17
30/11</t>
  </si>
  <si>
    <t>Sem 18
07/12</t>
  </si>
  <si>
    <t>Sem 19
14/12</t>
  </si>
  <si>
    <t>Sem 20
21/12</t>
  </si>
  <si>
    <t>Sem 21
28/12</t>
  </si>
  <si>
    <t>Sem 22
04/01</t>
  </si>
  <si>
    <t>Sem 23
11/01</t>
  </si>
  <si>
    <t>Sem 24
18/01</t>
  </si>
  <si>
    <t>Sem 25
25/01</t>
  </si>
  <si>
    <t>Sem 26
01/02</t>
  </si>
  <si>
    <t>WBS</t>
  </si>
  <si>
    <t>Título de la tarea</t>
  </si>
  <si>
    <t>Owner</t>
  </si>
  <si>
    <t>Inicio</t>
  </si>
  <si>
    <t>Término</t>
  </si>
  <si>
    <t>Duración (sem.)</t>
  </si>
  <si>
    <t>% avance</t>
  </si>
  <si>
    <t>Estado</t>
  </si>
  <si>
    <t>1.1</t>
  </si>
  <si>
    <t>Gestión y planificación del proyecto</t>
  </si>
  <si>
    <t>Antonia + equipo</t>
  </si>
  <si>
    <t>En curso</t>
  </si>
  <si>
    <t>1.1.1</t>
  </si>
  <si>
    <t xml:space="preserve">   Acta de Constitución</t>
  </si>
  <si>
    <t>Antonia</t>
  </si>
  <si>
    <t>Terminada</t>
  </si>
  <si>
    <t>1.1.2</t>
  </si>
  <si>
    <t xml:space="preserve">   EDT, hitos y diccionario EDT</t>
  </si>
  <si>
    <t>1.1.3</t>
  </si>
  <si>
    <t xml:space="preserve">   Cronograma y Carta Gantt</t>
  </si>
  <si>
    <t>1.1.4</t>
  </si>
  <si>
    <t xml:space="preserve">   Matriz RACI</t>
  </si>
  <si>
    <t>1.1.5</t>
  </si>
  <si>
    <t xml:space="preserve">   Matriz de Riesgos</t>
  </si>
  <si>
    <t>Por iniciar</t>
  </si>
  <si>
    <t>1.1.6</t>
  </si>
  <si>
    <t xml:space="preserve">   Plan de Calidad y Costos</t>
  </si>
  <si>
    <t>Antonia + Paolo</t>
  </si>
  <si>
    <t>1.1.7</t>
  </si>
  <si>
    <t xml:space="preserve">   Comunicaciones y reuniones</t>
  </si>
  <si>
    <t>1.1.8</t>
  </si>
  <si>
    <t xml:space="preserve">   Gestión de cambios y control documental</t>
  </si>
  <si>
    <t>1.1.9</t>
  </si>
  <si>
    <t xml:space="preserve">   Privacidad y uso de información</t>
  </si>
  <si>
    <t>1.2</t>
  </si>
  <si>
    <t>Análisis y requisitos</t>
  </si>
  <si>
    <t>Constanza + Antonia</t>
  </si>
  <si>
    <t>1.2.1</t>
  </si>
  <si>
    <t xml:space="preserve">   Contexto y problemática</t>
  </si>
  <si>
    <t>Constanza</t>
  </si>
  <si>
    <t>1.2.2</t>
  </si>
  <si>
    <t xml:space="preserve">   Definición y control del alcance</t>
  </si>
  <si>
    <t>1.2.3</t>
  </si>
  <si>
    <t xml:space="preserve">   Identificación de actores</t>
  </si>
  <si>
    <t>1.2.4</t>
  </si>
  <si>
    <t xml:space="preserve">   Requisitos funcionales</t>
  </si>
  <si>
    <t>Antonia + Constanza</t>
  </si>
  <si>
    <t>1.2.5</t>
  </si>
  <si>
    <t xml:space="preserve">   Requisitos no funcionales</t>
  </si>
  <si>
    <t>1.2.6</t>
  </si>
  <si>
    <t xml:space="preserve">   Casos de uso</t>
  </si>
  <si>
    <t>1.2.7</t>
  </si>
  <si>
    <t xml:space="preserve">   ERS</t>
  </si>
  <si>
    <t>1.2.8</t>
  </si>
  <si>
    <t xml:space="preserve">   Validación de requisitos</t>
  </si>
  <si>
    <t>Equipo SYNTRO</t>
  </si>
  <si>
    <t>1.3</t>
  </si>
  <si>
    <t>Diseño de la solución</t>
  </si>
  <si>
    <t>Paolo + equipo</t>
  </si>
  <si>
    <t>1.3.1</t>
  </si>
  <si>
    <t xml:space="preserve">   Arquitectura de la solución</t>
  </si>
  <si>
    <t>1.3.2</t>
  </si>
  <si>
    <t xml:space="preserve">   Modelo de datos</t>
  </si>
  <si>
    <t>Paolo</t>
  </si>
  <si>
    <t>1.3.3</t>
  </si>
  <si>
    <t xml:space="preserve">   Diseño de estructura física y mapa</t>
  </si>
  <si>
    <t>Constanza + Paolo</t>
  </si>
  <si>
    <t>1.3.4</t>
  </si>
  <si>
    <t xml:space="preserve">   Mockups de interfaz</t>
  </si>
  <si>
    <t>1.3.5</t>
  </si>
  <si>
    <t xml:space="preserve">   Autenticación, autorización y roles</t>
  </si>
  <si>
    <t>Paolo + Antonia</t>
  </si>
  <si>
    <t>1.3.6</t>
  </si>
  <si>
    <t xml:space="preserve">   Auditoría y trazabilidad</t>
  </si>
  <si>
    <t>1.3.7</t>
  </si>
  <si>
    <t xml:space="preserve">   Integración y escaneo de red</t>
  </si>
  <si>
    <t>1.4</t>
  </si>
  <si>
    <t>Construcción y desarrollo</t>
  </si>
  <si>
    <t>1.4.1</t>
  </si>
  <si>
    <t xml:space="preserve">   Ambiente de desarrollo</t>
  </si>
  <si>
    <t>1.4.2</t>
  </si>
  <si>
    <t xml:space="preserve">   Inventario de PCs e impresoras</t>
  </si>
  <si>
    <t>1.4.3</t>
  </si>
  <si>
    <t xml:space="preserve">   Importación y administración de inventario</t>
  </si>
  <si>
    <t>1.4.4</t>
  </si>
  <si>
    <t xml:space="preserve">   Mapa y localización física</t>
  </si>
  <si>
    <t>Paolo + Constanza</t>
  </si>
  <si>
    <t>1.4.5</t>
  </si>
  <si>
    <t xml:space="preserve">   Escaneo y telemetría de red</t>
  </si>
  <si>
    <t>1.4.6</t>
  </si>
  <si>
    <t xml:space="preserve">   Contraste red–inventario</t>
  </si>
  <si>
    <t>1.4.7</t>
  </si>
  <si>
    <t xml:space="preserve">   Usuarios, autenticación y roles</t>
  </si>
  <si>
    <t>1.4.8</t>
  </si>
  <si>
    <t>1.4.9</t>
  </si>
  <si>
    <t xml:space="preserve">   Respaldos y configuración</t>
  </si>
  <si>
    <t>1.4.10</t>
  </si>
  <si>
    <t xml:space="preserve">   Integración de componentes</t>
  </si>
  <si>
    <t>1.4.11</t>
  </si>
  <si>
    <t xml:space="preserve">   Base de datos y scripts</t>
  </si>
  <si>
    <t>1.4.12</t>
  </si>
  <si>
    <t xml:space="preserve">   Código fuente y documentación interna</t>
  </si>
  <si>
    <t>1.4.13</t>
  </si>
  <si>
    <t xml:space="preserve">   Control de programación</t>
  </si>
  <si>
    <t>1.5</t>
  </si>
  <si>
    <t>Pruebas, calidad y verificación</t>
  </si>
  <si>
    <t>1.5.1</t>
  </si>
  <si>
    <t xml:space="preserve">   Plan de Pruebas Inicial</t>
  </si>
  <si>
    <t>1.5.2</t>
  </si>
  <si>
    <t xml:space="preserve">   Pruebas funcionales</t>
  </si>
  <si>
    <t>1.5.3</t>
  </si>
  <si>
    <t xml:space="preserve">   Pruebas de integración</t>
  </si>
  <si>
    <t>1.5.4</t>
  </si>
  <si>
    <t xml:space="preserve">   Pruebas de seguridad y privacidad</t>
  </si>
  <si>
    <t>1.5.5</t>
  </si>
  <si>
    <t xml:space="preserve">   Pruebas de rendimiento y operación</t>
  </si>
  <si>
    <t>1.5.6</t>
  </si>
  <si>
    <t xml:space="preserve">   Verificación de alcance y requisitos</t>
  </si>
  <si>
    <t>1.5.7</t>
  </si>
  <si>
    <t xml:space="preserve">   Gestión de defectos y correcciones</t>
  </si>
  <si>
    <t>1.5.8</t>
  </si>
  <si>
    <t xml:space="preserve">   Reporte final de pruebas y estado</t>
  </si>
  <si>
    <t>1.6</t>
  </si>
  <si>
    <t>Implantación y cierre</t>
  </si>
  <si>
    <t>1.6.1</t>
  </si>
  <si>
    <t xml:space="preserve">   Preparación del ambiente on-premise</t>
  </si>
  <si>
    <t>1.6.2</t>
  </si>
  <si>
    <t xml:space="preserve">   Instalación y configuración</t>
  </si>
  <si>
    <t>1.6.3</t>
  </si>
  <si>
    <t xml:space="preserve">   Plan de implantación</t>
  </si>
  <si>
    <t>1.6.4</t>
  </si>
  <si>
    <t xml:space="preserve">   Soporte y mantenimiento</t>
  </si>
  <si>
    <t>1.6.5</t>
  </si>
  <si>
    <t xml:space="preserve">   Manual de usuario</t>
  </si>
  <si>
    <t>1.6.6</t>
  </si>
  <si>
    <t xml:space="preserve">   Manual de administrador</t>
  </si>
  <si>
    <t>1.6.7</t>
  </si>
  <si>
    <t xml:space="preserve">   Entrega de documentación final</t>
  </si>
  <si>
    <t>1.6.8</t>
  </si>
  <si>
    <t xml:space="preserve">   Aceptación y cierre del proyecto</t>
  </si>
  <si>
    <t>Equipo SYNTRO + contraparte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</si>
</sst>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6">
    <font>
      <sz val="11.0"/>
      <color rgb="FF000000"/>
      <name val="Carlito"/>
      <scheme val="minor"/>
    </font>
    <font>
      <b/>
      <sz val="16.0"/>
      <color rgb="FFFFFFFF"/>
      <name val="Carlito"/>
    </font>
    <font>
      <b/>
      <sz val="11.0"/>
      <color rgb="FFFFFFFF"/>
      <name val="Carlito"/>
    </font>
    <font>
      <b/>
      <sz val="18.0"/>
      <color rgb="FFFFFFFF"/>
      <name val="Carlito"/>
    </font>
    <font>
      <sz val="11.0"/>
      <color theme="1"/>
      <name val="Carlito"/>
    </font>
    <font>
      <b/>
      <sz val="10.0"/>
      <color theme="1"/>
      <name val="Carlito"/>
    </font>
    <font/>
    <font>
      <sz val="10.0"/>
      <color theme="1"/>
      <name val="Carlito"/>
    </font>
    <font>
      <b/>
      <sz val="9.0"/>
      <color rgb="FFFFFFFF"/>
      <name val="Carlito"/>
    </font>
    <font>
      <b/>
      <sz val="10.0"/>
      <color rgb="FFFFFFFF"/>
      <name val="Carlito"/>
    </font>
    <font>
      <b/>
      <sz val="8.0"/>
      <color theme="1"/>
      <name val="Carlito"/>
    </font>
    <font>
      <b/>
      <sz val="10.0"/>
      <color rgb="FFFFFFFF"/>
      <name val="Arial"/>
    </font>
    <font>
      <b/>
      <sz val="8.0"/>
      <color theme="1"/>
      <name val="Arial"/>
    </font>
    <font>
      <b/>
      <sz val="9.0"/>
      <color rgb="FFFFFFFF"/>
      <name val="Arial"/>
    </font>
    <font>
      <sz val="9.0"/>
      <color theme="1"/>
      <name val="Arial"/>
    </font>
    <font>
      <sz val="11.0"/>
      <color theme="1"/>
      <name val="Arial"/>
    </font>
  </fonts>
  <fills count="17">
    <fill>
      <patternFill patternType="none"/>
    </fill>
    <fill>
      <patternFill patternType="lightGray"/>
    </fill>
    <fill>
      <patternFill patternType="solid">
        <fgColor rgb="FF203864"/>
        <bgColor rgb="FF203864"/>
      </patternFill>
    </fill>
    <fill>
      <patternFill patternType="solid">
        <fgColor rgb="FF1F4E78"/>
        <bgColor rgb="FF1F4E78"/>
      </patternFill>
    </fill>
    <fill>
      <patternFill patternType="solid">
        <fgColor rgb="FFD9E2F3"/>
        <bgColor rgb="FFD9E2F3"/>
      </patternFill>
    </fill>
    <fill>
      <patternFill patternType="solid">
        <fgColor rgb="FFF8FAFD"/>
        <bgColor rgb="FFF8FAFD"/>
      </patternFill>
    </fill>
    <fill>
      <patternFill patternType="solid">
        <fgColor rgb="FF2F5597"/>
        <bgColor rgb="FF2F5597"/>
      </patternFill>
    </fill>
    <fill>
      <patternFill patternType="solid">
        <fgColor rgb="FF5B9BD5"/>
        <bgColor rgb="FF5B9BD5"/>
      </patternFill>
    </fill>
    <fill>
      <patternFill patternType="solid">
        <fgColor rgb="FF70AD47"/>
        <bgColor rgb="FF70AD47"/>
      </patternFill>
    </fill>
    <fill>
      <patternFill patternType="solid">
        <fgColor rgb="FFED7D31"/>
        <bgColor rgb="FFED7D31"/>
      </patternFill>
    </fill>
    <fill>
      <patternFill patternType="solid">
        <fgColor rgb="FF8064A2"/>
        <bgColor rgb="FF8064A2"/>
      </patternFill>
    </fill>
    <fill>
      <patternFill patternType="solid">
        <fgColor rgb="FF548235"/>
        <bgColor rgb="FF548235"/>
      </patternFill>
    </fill>
    <fill>
      <patternFill patternType="solid">
        <fgColor rgb="FFEAF0F7"/>
        <bgColor rgb="FFEAF0F7"/>
      </patternFill>
    </fill>
    <fill>
      <patternFill patternType="solid">
        <fgColor rgb="FFFFFFFF"/>
        <bgColor rgb="FFFFFFFF"/>
      </patternFill>
    </fill>
    <fill>
      <patternFill patternType="solid">
        <fgColor rgb="FFE2F0D9"/>
        <bgColor rgb="FFE2F0D9"/>
      </patternFill>
    </fill>
    <fill>
      <patternFill patternType="solid">
        <fgColor rgb="FFFFF2CC"/>
        <bgColor rgb="FFFFF2CC"/>
      </patternFill>
    </fill>
    <fill>
      <patternFill patternType="solid">
        <fgColor rgb="FFFCE4D6"/>
        <bgColor rgb="FFFCE4D6"/>
      </patternFill>
    </fill>
  </fills>
  <borders count="5">
    <border/>
    <border>
      <left style="thin">
        <color rgb="FFB7C3D0"/>
      </left>
      <right style="thin">
        <color rgb="FFB7C3D0"/>
      </right>
      <top style="thin">
        <color rgb="FFB7C3D0"/>
      </top>
      <bottom style="thin">
        <color rgb="FFB7C3D0"/>
      </bottom>
    </border>
    <border>
      <left style="thin">
        <color rgb="FFB7C3D0"/>
      </left>
      <top style="thin">
        <color rgb="FFB7C3D0"/>
      </top>
      <bottom style="thin">
        <color rgb="FFB7C3D0"/>
      </bottom>
    </border>
    <border>
      <right style="thin">
        <color rgb="FFB7C3D0"/>
      </right>
      <top style="thin">
        <color rgb="FFB7C3D0"/>
      </top>
      <bottom style="thin">
        <color rgb="FFB7C3D0"/>
      </bottom>
    </border>
    <border>
      <top style="thin">
        <color rgb="FFB7C3D0"/>
      </top>
      <bottom style="thin">
        <color rgb="FFB7C3D0"/>
      </bottom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1" fillId="3" fontId="2" numFmtId="0" xfId="0" applyAlignment="1" applyBorder="1" applyFill="1" applyFont="1">
      <alignment shrinkToFit="0" wrapText="1"/>
    </xf>
    <xf borderId="0" fillId="2" fontId="3" numFmtId="0" xfId="0" applyAlignment="1" applyFill="1" applyFont="1">
      <alignment horizontal="center" vertical="center"/>
    </xf>
    <xf borderId="1" fillId="0" fontId="4" numFmtId="0" xfId="0" applyAlignment="1" applyBorder="1" applyFont="1">
      <alignment shrinkToFit="0" wrapText="1"/>
    </xf>
    <xf borderId="2" fillId="4" fontId="5" numFmtId="0" xfId="0" applyBorder="1" applyFill="1" applyFont="1"/>
    <xf borderId="3" fillId="0" fontId="6" numFmtId="0" xfId="0" applyBorder="1" applyFont="1"/>
    <xf borderId="2" fillId="5" fontId="7" numFmtId="0" xfId="0" applyAlignment="1" applyBorder="1" applyFill="1" applyFont="1">
      <alignment shrinkToFit="0" wrapText="1"/>
    </xf>
    <xf borderId="4" fillId="0" fontId="6" numFmtId="0" xfId="0" applyBorder="1" applyFont="1"/>
    <xf borderId="0" fillId="6" fontId="8" numFmtId="0" xfId="0" applyAlignment="1" applyFill="1" applyFont="1">
      <alignment horizontal="center" vertical="center"/>
    </xf>
    <xf borderId="0" fillId="7" fontId="8" numFmtId="0" xfId="0" applyAlignment="1" applyFill="1" applyFont="1">
      <alignment horizontal="center" vertical="center"/>
    </xf>
    <xf borderId="0" fillId="8" fontId="8" numFmtId="0" xfId="0" applyAlignment="1" applyFill="1" applyFont="1">
      <alignment horizontal="center" vertical="center"/>
    </xf>
    <xf borderId="0" fillId="9" fontId="8" numFmtId="0" xfId="0" applyAlignment="1" applyFill="1" applyFont="1">
      <alignment horizontal="center" vertical="center"/>
    </xf>
    <xf borderId="0" fillId="10" fontId="8" numFmtId="0" xfId="0" applyAlignment="1" applyFill="1" applyFont="1">
      <alignment horizontal="center" vertical="center"/>
    </xf>
    <xf borderId="0" fillId="11" fontId="8" numFmtId="0" xfId="0" applyAlignment="1" applyFill="1" applyFont="1">
      <alignment horizontal="center" vertical="center"/>
    </xf>
    <xf borderId="0" fillId="3" fontId="9" numFmtId="0" xfId="0" applyAlignment="1" applyFill="1" applyFont="1">
      <alignment horizontal="center" vertical="center"/>
    </xf>
    <xf borderId="1" fillId="12" fontId="10" numFmtId="0" xfId="0" applyAlignment="1" applyBorder="1" applyFill="1" applyFont="1">
      <alignment horizontal="center" shrinkToFit="0" vertical="center" wrapText="1"/>
    </xf>
    <xf borderId="1" fillId="3" fontId="11" numFmtId="0" xfId="0" applyAlignment="1" applyBorder="1" applyFill="1" applyFont="1">
      <alignment horizontal="center" vertical="center"/>
    </xf>
    <xf borderId="1" fillId="12" fontId="12" numFmtId="0" xfId="0" applyAlignment="1" applyBorder="1" applyFill="1" applyFont="1">
      <alignment horizontal="center" shrinkToFit="0" vertical="center" wrapText="1"/>
    </xf>
    <xf borderId="1" fillId="6" fontId="13" numFmtId="0" xfId="0" applyAlignment="1" applyBorder="1" applyFill="1" applyFont="1">
      <alignment shrinkToFit="0" vertical="center" wrapText="1"/>
    </xf>
    <xf borderId="1" fillId="6" fontId="13" numFmtId="164" xfId="0" applyAlignment="1" applyBorder="1" applyFill="1" applyFont="1" applyNumberFormat="1">
      <alignment shrinkToFit="0" vertical="center" wrapText="1"/>
    </xf>
    <xf borderId="1" fillId="6" fontId="13" numFmtId="9" xfId="0" applyAlignment="1" applyBorder="1" applyFill="1" applyFont="1" applyNumberFormat="1">
      <alignment shrinkToFit="0" vertical="center" wrapText="1"/>
    </xf>
    <xf borderId="1" fillId="6" fontId="13" numFmtId="0" xfId="0" applyBorder="1" applyFill="1" applyFont="1"/>
    <xf borderId="1" fillId="13" fontId="13" numFmtId="0" xfId="0" applyBorder="1" applyFill="1" applyFont="1"/>
    <xf borderId="1" fillId="0" fontId="14" numFmtId="0" xfId="0" applyAlignment="1" applyBorder="1" applyFont="1">
      <alignment shrinkToFit="0" vertical="center" wrapText="1"/>
    </xf>
    <xf borderId="1" fillId="0" fontId="14" numFmtId="164" xfId="0" applyAlignment="1" applyBorder="1" applyFont="1" applyNumberFormat="1">
      <alignment shrinkToFit="0" vertical="center" wrapText="1"/>
    </xf>
    <xf borderId="1" fillId="0" fontId="14" numFmtId="9" xfId="0" applyAlignment="1" applyBorder="1" applyFont="1" applyNumberFormat="1">
      <alignment shrinkToFit="0" vertical="center" wrapText="1"/>
    </xf>
    <xf borderId="1" fillId="14" fontId="14" numFmtId="0" xfId="0" applyAlignment="1" applyBorder="1" applyFill="1" applyFont="1">
      <alignment shrinkToFit="0" vertical="center" wrapText="1"/>
    </xf>
    <xf borderId="1" fillId="6" fontId="15" numFmtId="0" xfId="0" applyBorder="1" applyFill="1" applyFont="1"/>
    <xf borderId="1" fillId="0" fontId="15" numFmtId="0" xfId="0" applyBorder="1" applyFont="1"/>
    <xf borderId="1" fillId="15" fontId="14" numFmtId="0" xfId="0" applyAlignment="1" applyBorder="1" applyFill="1" applyFont="1">
      <alignment shrinkToFit="0" vertical="center" wrapText="1"/>
    </xf>
    <xf borderId="1" fillId="16" fontId="14" numFmtId="0" xfId="0" applyAlignment="1" applyBorder="1" applyFill="1" applyFont="1">
      <alignment shrinkToFit="0" vertical="center" wrapText="1"/>
    </xf>
    <xf borderId="1" fillId="7" fontId="13" numFmtId="0" xfId="0" applyAlignment="1" applyBorder="1" applyFill="1" applyFont="1">
      <alignment shrinkToFit="0" vertical="center" wrapText="1"/>
    </xf>
    <xf borderId="1" fillId="7" fontId="13" numFmtId="164" xfId="0" applyAlignment="1" applyBorder="1" applyFill="1" applyFont="1" applyNumberFormat="1">
      <alignment shrinkToFit="0" vertical="center" wrapText="1"/>
    </xf>
    <xf borderId="1" fillId="7" fontId="13" numFmtId="9" xfId="0" applyAlignment="1" applyBorder="1" applyFill="1" applyFont="1" applyNumberFormat="1">
      <alignment shrinkToFit="0" vertical="center" wrapText="1"/>
    </xf>
    <xf borderId="1" fillId="7" fontId="13" numFmtId="0" xfId="0" applyBorder="1" applyFill="1" applyFont="1"/>
    <xf borderId="1" fillId="7" fontId="15" numFmtId="0" xfId="0" applyBorder="1" applyFill="1" applyFont="1"/>
    <xf borderId="1" fillId="8" fontId="13" numFmtId="0" xfId="0" applyAlignment="1" applyBorder="1" applyFill="1" applyFont="1">
      <alignment shrinkToFit="0" vertical="center" wrapText="1"/>
    </xf>
    <xf borderId="1" fillId="8" fontId="13" numFmtId="164" xfId="0" applyAlignment="1" applyBorder="1" applyFill="1" applyFont="1" applyNumberFormat="1">
      <alignment shrinkToFit="0" vertical="center" wrapText="1"/>
    </xf>
    <xf borderId="1" fillId="8" fontId="13" numFmtId="9" xfId="0" applyAlignment="1" applyBorder="1" applyFill="1" applyFont="1" applyNumberFormat="1">
      <alignment shrinkToFit="0" vertical="center" wrapText="1"/>
    </xf>
    <xf borderId="1" fillId="8" fontId="13" numFmtId="0" xfId="0" applyBorder="1" applyFill="1" applyFont="1"/>
    <xf borderId="1" fillId="8" fontId="15" numFmtId="0" xfId="0" applyBorder="1" applyFill="1" applyFont="1"/>
    <xf borderId="1" fillId="9" fontId="13" numFmtId="0" xfId="0" applyAlignment="1" applyBorder="1" applyFill="1" applyFont="1">
      <alignment shrinkToFit="0" vertical="center" wrapText="1"/>
    </xf>
    <xf borderId="1" fillId="9" fontId="13" numFmtId="164" xfId="0" applyAlignment="1" applyBorder="1" applyFill="1" applyFont="1" applyNumberFormat="1">
      <alignment shrinkToFit="0" vertical="center" wrapText="1"/>
    </xf>
    <xf borderId="1" fillId="9" fontId="13" numFmtId="9" xfId="0" applyAlignment="1" applyBorder="1" applyFill="1" applyFont="1" applyNumberFormat="1">
      <alignment shrinkToFit="0" vertical="center" wrapText="1"/>
    </xf>
    <xf borderId="1" fillId="9" fontId="13" numFmtId="0" xfId="0" applyBorder="1" applyFill="1" applyFont="1"/>
    <xf borderId="1" fillId="9" fontId="15" numFmtId="0" xfId="0" applyBorder="1" applyFill="1" applyFont="1"/>
    <xf borderId="1" fillId="10" fontId="13" numFmtId="0" xfId="0" applyAlignment="1" applyBorder="1" applyFill="1" applyFont="1">
      <alignment shrinkToFit="0" vertical="center" wrapText="1"/>
    </xf>
    <xf borderId="1" fillId="10" fontId="13" numFmtId="164" xfId="0" applyAlignment="1" applyBorder="1" applyFill="1" applyFont="1" applyNumberFormat="1">
      <alignment shrinkToFit="0" vertical="center" wrapText="1"/>
    </xf>
    <xf borderId="1" fillId="10" fontId="13" numFmtId="9" xfId="0" applyAlignment="1" applyBorder="1" applyFill="1" applyFont="1" applyNumberFormat="1">
      <alignment shrinkToFit="0" vertical="center" wrapText="1"/>
    </xf>
    <xf borderId="1" fillId="10" fontId="13" numFmtId="0" xfId="0" applyBorder="1" applyFill="1" applyFont="1"/>
    <xf borderId="1" fillId="10" fontId="15" numFmtId="0" xfId="0" applyBorder="1" applyFill="1" applyFont="1"/>
    <xf borderId="1" fillId="11" fontId="13" numFmtId="0" xfId="0" applyAlignment="1" applyBorder="1" applyFill="1" applyFont="1">
      <alignment shrinkToFit="0" vertical="center" wrapText="1"/>
    </xf>
    <xf borderId="1" fillId="11" fontId="13" numFmtId="164" xfId="0" applyAlignment="1" applyBorder="1" applyFill="1" applyFont="1" applyNumberFormat="1">
      <alignment shrinkToFit="0" vertical="center" wrapText="1"/>
    </xf>
    <xf borderId="1" fillId="11" fontId="13" numFmtId="9" xfId="0" applyAlignment="1" applyBorder="1" applyFill="1" applyFont="1" applyNumberFormat="1">
      <alignment shrinkToFit="0" vertical="center" wrapText="1"/>
    </xf>
    <xf borderId="1" fillId="11" fontId="13" numFmtId="0" xfId="0" applyBorder="1" applyFill="1" applyFont="1"/>
    <xf borderId="1" fillId="11" fontId="15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8.0" ySplit="10.0" topLeftCell="I11" activePane="bottomRight" state="frozen"/>
      <selection activeCell="I1" sqref="I1" pane="topRight"/>
      <selection activeCell="A11" sqref="A11" pane="bottomLeft"/>
      <selection activeCell="I11" sqref="I11" pane="bottomRight"/>
    </sheetView>
  </sheetViews>
  <sheetFormatPr customHeight="1" defaultColWidth="12.63" defaultRowHeight="15.0"/>
  <cols>
    <col customWidth="1" min="1" max="1" width="11.0"/>
    <col customWidth="1" min="2" max="2" width="34.0"/>
    <col customWidth="1" min="3" max="3" width="21.0"/>
    <col customWidth="1" min="4" max="6" width="13.0"/>
    <col customWidth="1" min="7" max="7" width="12.0"/>
    <col customWidth="1" min="8" max="8" width="14.0"/>
    <col customWidth="1" min="9" max="34" width="8.0"/>
  </cols>
  <sheetData>
    <row r="1" ht="27.75" customHeight="1">
      <c r="A1" s="1" t="s">
        <v>0</v>
      </c>
    </row>
    <row r="2" ht="33.75" customHeight="1">
      <c r="A2" s="3" t="s">
        <v>2</v>
      </c>
    </row>
    <row r="4">
      <c r="A4" s="5" t="s">
        <v>7</v>
      </c>
      <c r="B4" s="6"/>
      <c r="C4" s="7" t="s">
        <v>14</v>
      </c>
      <c r="D4" s="8"/>
      <c r="E4" s="6"/>
      <c r="F4" s="5" t="s">
        <v>19</v>
      </c>
      <c r="G4" s="6"/>
      <c r="H4" s="7" t="s">
        <v>20</v>
      </c>
      <c r="I4" s="8"/>
      <c r="J4" s="6"/>
      <c r="K4" s="5" t="s">
        <v>21</v>
      </c>
      <c r="L4" s="6"/>
      <c r="M4" s="7" t="s">
        <v>22</v>
      </c>
      <c r="N4" s="8"/>
      <c r="O4" s="6"/>
    </row>
    <row r="5">
      <c r="A5" s="5" t="s">
        <v>23</v>
      </c>
      <c r="B5" s="6"/>
      <c r="C5" s="7" t="s">
        <v>24</v>
      </c>
      <c r="D5" s="8"/>
      <c r="E5" s="6"/>
      <c r="F5" s="5" t="s">
        <v>25</v>
      </c>
      <c r="G5" s="6"/>
      <c r="H5" s="7" t="s">
        <v>26</v>
      </c>
      <c r="I5" s="8"/>
      <c r="J5" s="6"/>
      <c r="K5" s="5" t="s">
        <v>27</v>
      </c>
      <c r="L5" s="6"/>
      <c r="M5" s="7" t="s">
        <v>28</v>
      </c>
      <c r="N5" s="8"/>
      <c r="O5" s="6"/>
    </row>
    <row r="6">
      <c r="A6" s="7" t="s">
        <v>29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6"/>
    </row>
    <row r="8" ht="24.0" customHeight="1">
      <c r="I8" s="9" t="s">
        <v>30</v>
      </c>
      <c r="L8" s="10" t="s">
        <v>31</v>
      </c>
      <c r="O8" s="11" t="s">
        <v>32</v>
      </c>
      <c r="R8" s="12" t="s">
        <v>33</v>
      </c>
      <c r="AA8" s="13" t="s">
        <v>34</v>
      </c>
      <c r="AE8" s="14" t="s">
        <v>35</v>
      </c>
    </row>
    <row r="9" ht="31.5" customHeight="1">
      <c r="A9" s="15"/>
      <c r="B9" s="15"/>
      <c r="C9" s="15"/>
      <c r="D9" s="15"/>
      <c r="E9" s="15"/>
      <c r="F9" s="15"/>
      <c r="G9" s="15"/>
      <c r="H9" s="15"/>
      <c r="I9" s="16" t="s">
        <v>36</v>
      </c>
      <c r="J9" s="16" t="s">
        <v>37</v>
      </c>
      <c r="K9" s="16" t="s">
        <v>38</v>
      </c>
      <c r="L9" s="16" t="s">
        <v>39</v>
      </c>
      <c r="M9" s="16" t="s">
        <v>40</v>
      </c>
      <c r="N9" s="16" t="s">
        <v>41</v>
      </c>
      <c r="O9" s="16" t="s">
        <v>42</v>
      </c>
      <c r="P9" s="16" t="s">
        <v>43</v>
      </c>
      <c r="Q9" s="16" t="s">
        <v>44</v>
      </c>
      <c r="R9" s="16" t="s">
        <v>45</v>
      </c>
      <c r="S9" s="16" t="s">
        <v>46</v>
      </c>
      <c r="T9" s="16" t="s">
        <v>47</v>
      </c>
      <c r="U9" s="16" t="s">
        <v>48</v>
      </c>
      <c r="V9" s="16" t="s">
        <v>49</v>
      </c>
      <c r="W9" s="16" t="s">
        <v>50</v>
      </c>
      <c r="X9" s="16" t="s">
        <v>51</v>
      </c>
      <c r="Y9" s="16" t="s">
        <v>52</v>
      </c>
      <c r="Z9" s="16" t="s">
        <v>53</v>
      </c>
      <c r="AA9" s="16" t="s">
        <v>54</v>
      </c>
      <c r="AB9" s="16" t="s">
        <v>55</v>
      </c>
      <c r="AC9" s="16" t="s">
        <v>56</v>
      </c>
      <c r="AD9" s="16" t="s">
        <v>57</v>
      </c>
      <c r="AE9" s="16" t="s">
        <v>58</v>
      </c>
      <c r="AF9" s="16" t="s">
        <v>59</v>
      </c>
      <c r="AG9" s="16" t="s">
        <v>60</v>
      </c>
      <c r="AH9" s="16" t="s">
        <v>61</v>
      </c>
    </row>
    <row r="10" ht="24.0" customHeight="1">
      <c r="A10" s="17" t="s">
        <v>62</v>
      </c>
      <c r="B10" s="17" t="s">
        <v>63</v>
      </c>
      <c r="C10" s="17" t="s">
        <v>64</v>
      </c>
      <c r="D10" s="17" t="s">
        <v>65</v>
      </c>
      <c r="E10" s="17" t="s">
        <v>66</v>
      </c>
      <c r="F10" s="17" t="s">
        <v>67</v>
      </c>
      <c r="G10" s="17" t="s">
        <v>68</v>
      </c>
      <c r="H10" s="17" t="s">
        <v>69</v>
      </c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</row>
    <row r="11">
      <c r="A11" s="19" t="s">
        <v>70</v>
      </c>
      <c r="B11" s="19" t="s">
        <v>71</v>
      </c>
      <c r="C11" s="19" t="s">
        <v>72</v>
      </c>
      <c r="D11" s="20">
        <v>46244.0</v>
      </c>
      <c r="E11" s="20">
        <v>46264.0</v>
      </c>
      <c r="F11" s="19">
        <f t="shared" ref="F11:F69" si="1">ROUNDUP((E11-D11+1)/7,0)</f>
        <v>3</v>
      </c>
      <c r="G11" s="21">
        <v>0.5</v>
      </c>
      <c r="H11" s="19" t="s">
        <v>73</v>
      </c>
      <c r="I11" s="22"/>
      <c r="J11" s="22"/>
      <c r="K11" s="22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</row>
    <row r="12">
      <c r="A12" s="24" t="s">
        <v>74</v>
      </c>
      <c r="B12" s="24" t="s">
        <v>75</v>
      </c>
      <c r="C12" s="24" t="s">
        <v>76</v>
      </c>
      <c r="D12" s="25">
        <v>46244.0</v>
      </c>
      <c r="E12" s="25">
        <v>46257.0</v>
      </c>
      <c r="F12" s="24">
        <f t="shared" si="1"/>
        <v>2</v>
      </c>
      <c r="G12" s="26">
        <v>1.0</v>
      </c>
      <c r="H12" s="27" t="s">
        <v>77</v>
      </c>
      <c r="I12" s="28"/>
      <c r="J12" s="28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</row>
    <row r="13">
      <c r="A13" s="24" t="s">
        <v>78</v>
      </c>
      <c r="B13" s="24" t="s">
        <v>79</v>
      </c>
      <c r="C13" s="24" t="s">
        <v>76</v>
      </c>
      <c r="D13" s="25">
        <v>46244.0</v>
      </c>
      <c r="E13" s="25">
        <v>46257.0</v>
      </c>
      <c r="F13" s="24">
        <f t="shared" si="1"/>
        <v>2</v>
      </c>
      <c r="G13" s="26">
        <v>0.5</v>
      </c>
      <c r="H13" s="30" t="s">
        <v>73</v>
      </c>
      <c r="I13" s="28"/>
      <c r="J13" s="28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</row>
    <row r="14">
      <c r="A14" s="24" t="s">
        <v>80</v>
      </c>
      <c r="B14" s="24" t="s">
        <v>81</v>
      </c>
      <c r="C14" s="24" t="s">
        <v>72</v>
      </c>
      <c r="D14" s="25">
        <v>46244.0</v>
      </c>
      <c r="E14" s="25">
        <v>46264.0</v>
      </c>
      <c r="F14" s="24">
        <f t="shared" si="1"/>
        <v>3</v>
      </c>
      <c r="G14" s="26">
        <v>0.5</v>
      </c>
      <c r="H14" s="30" t="s">
        <v>73</v>
      </c>
      <c r="I14" s="28"/>
      <c r="J14" s="28"/>
      <c r="K14" s="28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</row>
    <row r="15">
      <c r="A15" s="24" t="s">
        <v>82</v>
      </c>
      <c r="B15" s="24" t="s">
        <v>83</v>
      </c>
      <c r="C15" s="24" t="s">
        <v>76</v>
      </c>
      <c r="D15" s="25">
        <v>46244.0</v>
      </c>
      <c r="E15" s="25">
        <v>46257.0</v>
      </c>
      <c r="F15" s="24">
        <f t="shared" si="1"/>
        <v>2</v>
      </c>
      <c r="G15" s="26">
        <v>1.0</v>
      </c>
      <c r="H15" s="27" t="s">
        <v>77</v>
      </c>
      <c r="I15" s="28"/>
      <c r="J15" s="28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</row>
    <row r="16">
      <c r="A16" s="24" t="s">
        <v>84</v>
      </c>
      <c r="B16" s="24" t="s">
        <v>85</v>
      </c>
      <c r="C16" s="24" t="s">
        <v>76</v>
      </c>
      <c r="D16" s="25">
        <v>46244.0</v>
      </c>
      <c r="E16" s="25">
        <v>46264.0</v>
      </c>
      <c r="F16" s="24">
        <f t="shared" si="1"/>
        <v>3</v>
      </c>
      <c r="G16" s="26">
        <v>0.0</v>
      </c>
      <c r="H16" s="31" t="s">
        <v>86</v>
      </c>
      <c r="I16" s="28"/>
      <c r="J16" s="28"/>
      <c r="K16" s="28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</row>
    <row r="17">
      <c r="A17" s="24" t="s">
        <v>87</v>
      </c>
      <c r="B17" s="24" t="s">
        <v>88</v>
      </c>
      <c r="C17" s="24" t="s">
        <v>89</v>
      </c>
      <c r="D17" s="25">
        <v>46251.0</v>
      </c>
      <c r="E17" s="25">
        <v>46264.0</v>
      </c>
      <c r="F17" s="24">
        <f t="shared" si="1"/>
        <v>2</v>
      </c>
      <c r="G17" s="26">
        <v>0.0</v>
      </c>
      <c r="H17" s="31" t="s">
        <v>86</v>
      </c>
      <c r="I17" s="29"/>
      <c r="J17" s="28"/>
      <c r="K17" s="28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</row>
    <row r="18">
      <c r="A18" s="24" t="s">
        <v>90</v>
      </c>
      <c r="B18" s="24" t="s">
        <v>91</v>
      </c>
      <c r="C18" s="24" t="s">
        <v>72</v>
      </c>
      <c r="D18" s="25">
        <v>46244.0</v>
      </c>
      <c r="E18" s="25">
        <v>46425.0</v>
      </c>
      <c r="F18" s="24">
        <f t="shared" si="1"/>
        <v>26</v>
      </c>
      <c r="G18" s="26">
        <v>0.5</v>
      </c>
      <c r="H18" s="30" t="s">
        <v>73</v>
      </c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</row>
    <row r="19">
      <c r="A19" s="24" t="s">
        <v>92</v>
      </c>
      <c r="B19" s="24" t="s">
        <v>93</v>
      </c>
      <c r="C19" s="24" t="s">
        <v>76</v>
      </c>
      <c r="D19" s="25">
        <v>46244.0</v>
      </c>
      <c r="E19" s="25">
        <v>46425.0</v>
      </c>
      <c r="F19" s="24">
        <f t="shared" si="1"/>
        <v>26</v>
      </c>
      <c r="G19" s="26">
        <v>0.5</v>
      </c>
      <c r="H19" s="30" t="s">
        <v>73</v>
      </c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</row>
    <row r="20">
      <c r="A20" s="24" t="s">
        <v>94</v>
      </c>
      <c r="B20" s="24" t="s">
        <v>95</v>
      </c>
      <c r="C20" s="24" t="s">
        <v>89</v>
      </c>
      <c r="D20" s="25">
        <v>46244.0</v>
      </c>
      <c r="E20" s="25">
        <v>46425.0</v>
      </c>
      <c r="F20" s="24">
        <f t="shared" si="1"/>
        <v>26</v>
      </c>
      <c r="G20" s="26">
        <v>0.5</v>
      </c>
      <c r="H20" s="30" t="s">
        <v>73</v>
      </c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</row>
    <row r="21" ht="15.75" customHeight="1">
      <c r="A21" s="32" t="s">
        <v>96</v>
      </c>
      <c r="B21" s="32" t="s">
        <v>97</v>
      </c>
      <c r="C21" s="32" t="s">
        <v>98</v>
      </c>
      <c r="D21" s="33">
        <v>46265.0</v>
      </c>
      <c r="E21" s="33">
        <v>46285.0</v>
      </c>
      <c r="F21" s="32">
        <f t="shared" si="1"/>
        <v>3</v>
      </c>
      <c r="G21" s="34">
        <v>0.5</v>
      </c>
      <c r="H21" s="32" t="s">
        <v>73</v>
      </c>
      <c r="I21" s="23"/>
      <c r="J21" s="23"/>
      <c r="K21" s="23"/>
      <c r="L21" s="35"/>
      <c r="M21" s="35"/>
      <c r="N21" s="35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</row>
    <row r="22" ht="15.75" customHeight="1">
      <c r="A22" s="24" t="s">
        <v>99</v>
      </c>
      <c r="B22" s="24" t="s">
        <v>100</v>
      </c>
      <c r="C22" s="24" t="s">
        <v>101</v>
      </c>
      <c r="D22" s="25">
        <v>46258.0</v>
      </c>
      <c r="E22" s="25">
        <v>46271.0</v>
      </c>
      <c r="F22" s="24">
        <f t="shared" si="1"/>
        <v>2</v>
      </c>
      <c r="G22" s="26">
        <v>1.0</v>
      </c>
      <c r="H22" s="27" t="s">
        <v>77</v>
      </c>
      <c r="I22" s="29"/>
      <c r="J22" s="29"/>
      <c r="K22" s="36"/>
      <c r="L22" s="36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</row>
    <row r="23" ht="15.75" customHeight="1">
      <c r="A23" s="24" t="s">
        <v>102</v>
      </c>
      <c r="B23" s="24" t="s">
        <v>103</v>
      </c>
      <c r="C23" s="24" t="s">
        <v>98</v>
      </c>
      <c r="D23" s="25">
        <v>46258.0</v>
      </c>
      <c r="E23" s="25">
        <v>46271.0</v>
      </c>
      <c r="F23" s="24">
        <f t="shared" si="1"/>
        <v>2</v>
      </c>
      <c r="G23" s="26">
        <v>1.0</v>
      </c>
      <c r="H23" s="27" t="s">
        <v>77</v>
      </c>
      <c r="I23" s="29"/>
      <c r="J23" s="29"/>
      <c r="K23" s="36"/>
      <c r="L23" s="36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</row>
    <row r="24" ht="15.75" customHeight="1">
      <c r="A24" s="24" t="s">
        <v>104</v>
      </c>
      <c r="B24" s="24" t="s">
        <v>105</v>
      </c>
      <c r="C24" s="24" t="s">
        <v>101</v>
      </c>
      <c r="D24" s="25">
        <v>46265.0</v>
      </c>
      <c r="E24" s="25">
        <v>46271.0</v>
      </c>
      <c r="F24" s="24">
        <f t="shared" si="1"/>
        <v>1</v>
      </c>
      <c r="G24" s="26">
        <v>0.5</v>
      </c>
      <c r="H24" s="30" t="s">
        <v>73</v>
      </c>
      <c r="I24" s="29"/>
      <c r="J24" s="29"/>
      <c r="K24" s="29"/>
      <c r="L24" s="36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</row>
    <row r="25" ht="15.75" customHeight="1">
      <c r="A25" s="24" t="s">
        <v>106</v>
      </c>
      <c r="B25" s="24" t="s">
        <v>107</v>
      </c>
      <c r="C25" s="24" t="s">
        <v>108</v>
      </c>
      <c r="D25" s="25">
        <v>46265.0</v>
      </c>
      <c r="E25" s="25">
        <v>46278.0</v>
      </c>
      <c r="F25" s="24">
        <f t="shared" si="1"/>
        <v>2</v>
      </c>
      <c r="G25" s="26">
        <v>0.5</v>
      </c>
      <c r="H25" s="30" t="s">
        <v>73</v>
      </c>
      <c r="I25" s="29"/>
      <c r="J25" s="29"/>
      <c r="K25" s="29"/>
      <c r="L25" s="36"/>
      <c r="M25" s="36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</row>
    <row r="26" ht="15.75" customHeight="1">
      <c r="A26" s="24" t="s">
        <v>109</v>
      </c>
      <c r="B26" s="24" t="s">
        <v>110</v>
      </c>
      <c r="C26" s="24" t="s">
        <v>76</v>
      </c>
      <c r="D26" s="25">
        <v>46265.0</v>
      </c>
      <c r="E26" s="25">
        <v>46278.0</v>
      </c>
      <c r="F26" s="24">
        <f t="shared" si="1"/>
        <v>2</v>
      </c>
      <c r="G26" s="26">
        <v>0.5</v>
      </c>
      <c r="H26" s="30" t="s">
        <v>73</v>
      </c>
      <c r="I26" s="29"/>
      <c r="J26" s="29"/>
      <c r="K26" s="29"/>
      <c r="L26" s="36"/>
      <c r="M26" s="36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</row>
    <row r="27" ht="15.75" customHeight="1">
      <c r="A27" s="24" t="s">
        <v>111</v>
      </c>
      <c r="B27" s="24" t="s">
        <v>112</v>
      </c>
      <c r="C27" s="24" t="s">
        <v>101</v>
      </c>
      <c r="D27" s="25">
        <v>46265.0</v>
      </c>
      <c r="E27" s="25">
        <v>46278.0</v>
      </c>
      <c r="F27" s="24">
        <f t="shared" si="1"/>
        <v>2</v>
      </c>
      <c r="G27" s="26">
        <v>0.5</v>
      </c>
      <c r="H27" s="30" t="s">
        <v>73</v>
      </c>
      <c r="I27" s="29"/>
      <c r="J27" s="29"/>
      <c r="K27" s="29"/>
      <c r="L27" s="36"/>
      <c r="M27" s="36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</row>
    <row r="28" ht="15.75" customHeight="1">
      <c r="A28" s="24" t="s">
        <v>113</v>
      </c>
      <c r="B28" s="24" t="s">
        <v>114</v>
      </c>
      <c r="C28" s="24" t="s">
        <v>98</v>
      </c>
      <c r="D28" s="25">
        <v>46272.0</v>
      </c>
      <c r="E28" s="25">
        <v>46285.0</v>
      </c>
      <c r="F28" s="24">
        <f t="shared" si="1"/>
        <v>2</v>
      </c>
      <c r="G28" s="26">
        <v>0.5</v>
      </c>
      <c r="H28" s="30" t="s">
        <v>73</v>
      </c>
      <c r="I28" s="29"/>
      <c r="J28" s="29"/>
      <c r="K28" s="29"/>
      <c r="L28" s="29"/>
      <c r="M28" s="36"/>
      <c r="N28" s="36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</row>
    <row r="29" ht="15.75" customHeight="1">
      <c r="A29" s="24" t="s">
        <v>115</v>
      </c>
      <c r="B29" s="24" t="s">
        <v>116</v>
      </c>
      <c r="C29" s="24" t="s">
        <v>117</v>
      </c>
      <c r="D29" s="25">
        <v>46279.0</v>
      </c>
      <c r="E29" s="25">
        <v>46285.0</v>
      </c>
      <c r="F29" s="24">
        <f t="shared" si="1"/>
        <v>1</v>
      </c>
      <c r="G29" s="26">
        <v>0.0</v>
      </c>
      <c r="H29" s="31" t="s">
        <v>86</v>
      </c>
      <c r="I29" s="29"/>
      <c r="J29" s="29"/>
      <c r="K29" s="29"/>
      <c r="L29" s="29"/>
      <c r="M29" s="29"/>
      <c r="N29" s="36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</row>
    <row r="30" ht="15.75" customHeight="1">
      <c r="A30" s="37" t="s">
        <v>118</v>
      </c>
      <c r="B30" s="37" t="s">
        <v>119</v>
      </c>
      <c r="C30" s="37" t="s">
        <v>120</v>
      </c>
      <c r="D30" s="38">
        <v>46286.0</v>
      </c>
      <c r="E30" s="38">
        <v>46306.0</v>
      </c>
      <c r="F30" s="37">
        <f t="shared" si="1"/>
        <v>3</v>
      </c>
      <c r="G30" s="39">
        <v>0.5</v>
      </c>
      <c r="H30" s="37" t="s">
        <v>73</v>
      </c>
      <c r="I30" s="23"/>
      <c r="J30" s="23"/>
      <c r="K30" s="23"/>
      <c r="L30" s="23"/>
      <c r="M30" s="23"/>
      <c r="N30" s="23"/>
      <c r="O30" s="40"/>
      <c r="P30" s="40"/>
      <c r="Q30" s="40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</row>
    <row r="31" ht="15.75" customHeight="1">
      <c r="A31" s="24" t="s">
        <v>121</v>
      </c>
      <c r="B31" s="24" t="s">
        <v>122</v>
      </c>
      <c r="C31" s="24" t="s">
        <v>117</v>
      </c>
      <c r="D31" s="25">
        <v>46286.0</v>
      </c>
      <c r="E31" s="25">
        <v>46292.0</v>
      </c>
      <c r="F31" s="24">
        <f t="shared" si="1"/>
        <v>1</v>
      </c>
      <c r="G31" s="26">
        <v>1.0</v>
      </c>
      <c r="H31" s="27" t="s">
        <v>77</v>
      </c>
      <c r="I31" s="29"/>
      <c r="J31" s="29"/>
      <c r="K31" s="29"/>
      <c r="L31" s="29"/>
      <c r="M31" s="29"/>
      <c r="N31" s="29"/>
      <c r="O31" s="41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</row>
    <row r="32" ht="15.75" customHeight="1">
      <c r="A32" s="24" t="s">
        <v>123</v>
      </c>
      <c r="B32" s="24" t="s">
        <v>124</v>
      </c>
      <c r="C32" s="24" t="s">
        <v>125</v>
      </c>
      <c r="D32" s="25">
        <v>46286.0</v>
      </c>
      <c r="E32" s="25">
        <v>46299.0</v>
      </c>
      <c r="F32" s="24">
        <f t="shared" si="1"/>
        <v>2</v>
      </c>
      <c r="G32" s="26">
        <v>0.5</v>
      </c>
      <c r="H32" s="30" t="s">
        <v>73</v>
      </c>
      <c r="I32" s="29"/>
      <c r="J32" s="29"/>
      <c r="K32" s="29"/>
      <c r="L32" s="29"/>
      <c r="M32" s="29"/>
      <c r="N32" s="29"/>
      <c r="O32" s="41"/>
      <c r="P32" s="41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</row>
    <row r="33" ht="15.75" customHeight="1">
      <c r="A33" s="24" t="s">
        <v>126</v>
      </c>
      <c r="B33" s="24" t="s">
        <v>127</v>
      </c>
      <c r="C33" s="24" t="s">
        <v>128</v>
      </c>
      <c r="D33" s="25">
        <v>46286.0</v>
      </c>
      <c r="E33" s="25">
        <v>46299.0</v>
      </c>
      <c r="F33" s="24">
        <f t="shared" si="1"/>
        <v>2</v>
      </c>
      <c r="G33" s="26">
        <v>0.5</v>
      </c>
      <c r="H33" s="30" t="s">
        <v>73</v>
      </c>
      <c r="I33" s="29"/>
      <c r="J33" s="29"/>
      <c r="K33" s="29"/>
      <c r="L33" s="29"/>
      <c r="M33" s="29"/>
      <c r="N33" s="29"/>
      <c r="O33" s="41"/>
      <c r="P33" s="41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</row>
    <row r="34" ht="15.75" customHeight="1">
      <c r="A34" s="24" t="s">
        <v>129</v>
      </c>
      <c r="B34" s="24" t="s">
        <v>130</v>
      </c>
      <c r="C34" s="24" t="s">
        <v>101</v>
      </c>
      <c r="D34" s="25">
        <v>46286.0</v>
      </c>
      <c r="E34" s="25">
        <v>46299.0</v>
      </c>
      <c r="F34" s="24">
        <f t="shared" si="1"/>
        <v>2</v>
      </c>
      <c r="G34" s="26">
        <v>0.0</v>
      </c>
      <c r="H34" s="31" t="s">
        <v>86</v>
      </c>
      <c r="I34" s="29"/>
      <c r="J34" s="29"/>
      <c r="K34" s="29"/>
      <c r="L34" s="29"/>
      <c r="M34" s="29"/>
      <c r="N34" s="29"/>
      <c r="O34" s="41"/>
      <c r="P34" s="41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</row>
    <row r="35" ht="15.75" customHeight="1">
      <c r="A35" s="24" t="s">
        <v>131</v>
      </c>
      <c r="B35" s="24" t="s">
        <v>132</v>
      </c>
      <c r="C35" s="24" t="s">
        <v>133</v>
      </c>
      <c r="D35" s="25">
        <v>46293.0</v>
      </c>
      <c r="E35" s="25">
        <v>46299.0</v>
      </c>
      <c r="F35" s="24">
        <f t="shared" si="1"/>
        <v>1</v>
      </c>
      <c r="G35" s="26">
        <v>1.0</v>
      </c>
      <c r="H35" s="27" t="s">
        <v>77</v>
      </c>
      <c r="I35" s="29"/>
      <c r="J35" s="29"/>
      <c r="K35" s="29"/>
      <c r="L35" s="29"/>
      <c r="M35" s="29"/>
      <c r="N35" s="29"/>
      <c r="O35" s="29"/>
      <c r="P35" s="41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</row>
    <row r="36" ht="15.75" customHeight="1">
      <c r="A36" s="24" t="s">
        <v>134</v>
      </c>
      <c r="B36" s="24" t="s">
        <v>135</v>
      </c>
      <c r="C36" s="24" t="s">
        <v>133</v>
      </c>
      <c r="D36" s="25">
        <v>46293.0</v>
      </c>
      <c r="E36" s="25">
        <v>46299.0</v>
      </c>
      <c r="F36" s="24">
        <f t="shared" si="1"/>
        <v>1</v>
      </c>
      <c r="G36" s="26">
        <v>1.0</v>
      </c>
      <c r="H36" s="27" t="s">
        <v>77</v>
      </c>
      <c r="I36" s="29"/>
      <c r="J36" s="29"/>
      <c r="K36" s="29"/>
      <c r="L36" s="29"/>
      <c r="M36" s="29"/>
      <c r="N36" s="29"/>
      <c r="O36" s="29"/>
      <c r="P36" s="41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</row>
    <row r="37" ht="15.75" customHeight="1">
      <c r="A37" s="24" t="s">
        <v>136</v>
      </c>
      <c r="B37" s="24" t="s">
        <v>137</v>
      </c>
      <c r="C37" s="24" t="s">
        <v>125</v>
      </c>
      <c r="D37" s="25">
        <v>46293.0</v>
      </c>
      <c r="E37" s="25">
        <v>46306.0</v>
      </c>
      <c r="F37" s="24">
        <f t="shared" si="1"/>
        <v>2</v>
      </c>
      <c r="G37" s="26">
        <v>0.5</v>
      </c>
      <c r="H37" s="30" t="s">
        <v>73</v>
      </c>
      <c r="I37" s="29"/>
      <c r="J37" s="29"/>
      <c r="K37" s="29"/>
      <c r="L37" s="29"/>
      <c r="M37" s="29"/>
      <c r="N37" s="29"/>
      <c r="O37" s="29"/>
      <c r="P37" s="41"/>
      <c r="Q37" s="41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</row>
    <row r="38" ht="15.75" customHeight="1">
      <c r="A38" s="42" t="s">
        <v>138</v>
      </c>
      <c r="B38" s="42" t="s">
        <v>139</v>
      </c>
      <c r="C38" s="42" t="s">
        <v>120</v>
      </c>
      <c r="D38" s="43">
        <v>46307.0</v>
      </c>
      <c r="E38" s="43">
        <v>46369.0</v>
      </c>
      <c r="F38" s="42">
        <f t="shared" si="1"/>
        <v>9</v>
      </c>
      <c r="G38" s="44">
        <v>0.5</v>
      </c>
      <c r="H38" s="42" t="s">
        <v>73</v>
      </c>
      <c r="I38" s="23"/>
      <c r="J38" s="23"/>
      <c r="K38" s="23"/>
      <c r="L38" s="23"/>
      <c r="M38" s="23"/>
      <c r="N38" s="23"/>
      <c r="O38" s="23"/>
      <c r="P38" s="23"/>
      <c r="Q38" s="23"/>
      <c r="R38" s="45"/>
      <c r="S38" s="45"/>
      <c r="T38" s="45"/>
      <c r="U38" s="45"/>
      <c r="V38" s="45"/>
      <c r="W38" s="45"/>
      <c r="X38" s="45"/>
      <c r="Y38" s="45"/>
      <c r="Z38" s="45"/>
      <c r="AA38" s="23"/>
      <c r="AB38" s="23"/>
      <c r="AC38" s="23"/>
      <c r="AD38" s="23"/>
      <c r="AE38" s="23"/>
      <c r="AF38" s="23"/>
      <c r="AG38" s="23"/>
      <c r="AH38" s="23"/>
    </row>
    <row r="39" ht="15.75" customHeight="1">
      <c r="A39" s="24" t="s">
        <v>140</v>
      </c>
      <c r="B39" s="24" t="s">
        <v>141</v>
      </c>
      <c r="C39" s="24" t="s">
        <v>125</v>
      </c>
      <c r="D39" s="25">
        <v>46307.0</v>
      </c>
      <c r="E39" s="25">
        <v>46313.0</v>
      </c>
      <c r="F39" s="24">
        <f t="shared" si="1"/>
        <v>1</v>
      </c>
      <c r="G39" s="26">
        <v>1.0</v>
      </c>
      <c r="H39" s="27" t="s">
        <v>77</v>
      </c>
      <c r="I39" s="29"/>
      <c r="J39" s="29"/>
      <c r="K39" s="29"/>
      <c r="L39" s="29"/>
      <c r="M39" s="29"/>
      <c r="N39" s="29"/>
      <c r="O39" s="29"/>
      <c r="P39" s="29"/>
      <c r="Q39" s="29"/>
      <c r="R39" s="46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</row>
    <row r="40" ht="15.75" customHeight="1">
      <c r="A40" s="24" t="s">
        <v>142</v>
      </c>
      <c r="B40" s="24" t="s">
        <v>143</v>
      </c>
      <c r="C40" s="24" t="s">
        <v>125</v>
      </c>
      <c r="D40" s="25">
        <v>46307.0</v>
      </c>
      <c r="E40" s="25">
        <v>46327.0</v>
      </c>
      <c r="F40" s="24">
        <f t="shared" si="1"/>
        <v>3</v>
      </c>
      <c r="G40" s="26">
        <v>0.5</v>
      </c>
      <c r="H40" s="30" t="s">
        <v>73</v>
      </c>
      <c r="I40" s="29"/>
      <c r="J40" s="29"/>
      <c r="K40" s="29"/>
      <c r="L40" s="29"/>
      <c r="M40" s="29"/>
      <c r="N40" s="29"/>
      <c r="O40" s="29"/>
      <c r="P40" s="29"/>
      <c r="Q40" s="29"/>
      <c r="R40" s="46"/>
      <c r="S40" s="46"/>
      <c r="T40" s="46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</row>
    <row r="41" ht="15.75" customHeight="1">
      <c r="A41" s="24" t="s">
        <v>144</v>
      </c>
      <c r="B41" s="24" t="s">
        <v>145</v>
      </c>
      <c r="C41" s="24" t="s">
        <v>125</v>
      </c>
      <c r="D41" s="25">
        <v>46307.0</v>
      </c>
      <c r="E41" s="25">
        <v>46327.0</v>
      </c>
      <c r="F41" s="24">
        <f t="shared" si="1"/>
        <v>3</v>
      </c>
      <c r="G41" s="26">
        <v>0.5</v>
      </c>
      <c r="H41" s="30" t="s">
        <v>73</v>
      </c>
      <c r="I41" s="29"/>
      <c r="J41" s="29"/>
      <c r="K41" s="29"/>
      <c r="L41" s="29"/>
      <c r="M41" s="29"/>
      <c r="N41" s="29"/>
      <c r="O41" s="29"/>
      <c r="P41" s="29"/>
      <c r="Q41" s="29"/>
      <c r="R41" s="46"/>
      <c r="S41" s="46"/>
      <c r="T41" s="46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</row>
    <row r="42" ht="15.75" customHeight="1">
      <c r="A42" s="24" t="s">
        <v>146</v>
      </c>
      <c r="B42" s="24" t="s">
        <v>147</v>
      </c>
      <c r="C42" s="24" t="s">
        <v>148</v>
      </c>
      <c r="D42" s="25">
        <v>46314.0</v>
      </c>
      <c r="E42" s="25">
        <v>46341.0</v>
      </c>
      <c r="F42" s="24">
        <f t="shared" si="1"/>
        <v>4</v>
      </c>
      <c r="G42" s="26">
        <v>0.5</v>
      </c>
      <c r="H42" s="30" t="s">
        <v>73</v>
      </c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46"/>
      <c r="T42" s="46"/>
      <c r="U42" s="46"/>
      <c r="V42" s="46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</row>
    <row r="43" ht="15.75" customHeight="1">
      <c r="A43" s="24" t="s">
        <v>149</v>
      </c>
      <c r="B43" s="24" t="s">
        <v>150</v>
      </c>
      <c r="C43" s="24" t="s">
        <v>125</v>
      </c>
      <c r="D43" s="25">
        <v>46321.0</v>
      </c>
      <c r="E43" s="25">
        <v>46348.0</v>
      </c>
      <c r="F43" s="24">
        <f t="shared" si="1"/>
        <v>4</v>
      </c>
      <c r="G43" s="26">
        <v>0.5</v>
      </c>
      <c r="H43" s="30" t="s">
        <v>73</v>
      </c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46"/>
      <c r="U43" s="46"/>
      <c r="V43" s="46"/>
      <c r="W43" s="46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</row>
    <row r="44" ht="15.75" customHeight="1">
      <c r="A44" s="24" t="s">
        <v>151</v>
      </c>
      <c r="B44" s="24" t="s">
        <v>152</v>
      </c>
      <c r="C44" s="24" t="s">
        <v>125</v>
      </c>
      <c r="D44" s="25">
        <v>46328.0</v>
      </c>
      <c r="E44" s="25">
        <v>46348.0</v>
      </c>
      <c r="F44" s="24">
        <f t="shared" si="1"/>
        <v>3</v>
      </c>
      <c r="G44" s="26">
        <v>0.5</v>
      </c>
      <c r="H44" s="30" t="s">
        <v>73</v>
      </c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46"/>
      <c r="V44" s="46"/>
      <c r="W44" s="46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</row>
    <row r="45" ht="15.75" customHeight="1">
      <c r="A45" s="24" t="s">
        <v>153</v>
      </c>
      <c r="B45" s="24" t="s">
        <v>154</v>
      </c>
      <c r="C45" s="24" t="s">
        <v>125</v>
      </c>
      <c r="D45" s="25">
        <v>46307.0</v>
      </c>
      <c r="E45" s="25">
        <v>46327.0</v>
      </c>
      <c r="F45" s="24">
        <f t="shared" si="1"/>
        <v>3</v>
      </c>
      <c r="G45" s="26">
        <v>0.5</v>
      </c>
      <c r="H45" s="30" t="s">
        <v>73</v>
      </c>
      <c r="I45" s="29"/>
      <c r="J45" s="29"/>
      <c r="K45" s="29"/>
      <c r="L45" s="29"/>
      <c r="M45" s="29"/>
      <c r="N45" s="29"/>
      <c r="O45" s="29"/>
      <c r="P45" s="29"/>
      <c r="Q45" s="29"/>
      <c r="R45" s="46"/>
      <c r="S45" s="46"/>
      <c r="T45" s="46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</row>
    <row r="46" ht="15.75" customHeight="1">
      <c r="A46" s="24" t="s">
        <v>155</v>
      </c>
      <c r="B46" s="24" t="s">
        <v>135</v>
      </c>
      <c r="C46" s="24" t="s">
        <v>125</v>
      </c>
      <c r="D46" s="25">
        <v>46321.0</v>
      </c>
      <c r="E46" s="25">
        <v>46341.0</v>
      </c>
      <c r="F46" s="24">
        <f t="shared" si="1"/>
        <v>3</v>
      </c>
      <c r="G46" s="26">
        <v>0.5</v>
      </c>
      <c r="H46" s="30" t="s">
        <v>73</v>
      </c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46"/>
      <c r="U46" s="46"/>
      <c r="V46" s="46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</row>
    <row r="47" ht="15.75" customHeight="1">
      <c r="A47" s="24" t="s">
        <v>156</v>
      </c>
      <c r="B47" s="24" t="s">
        <v>157</v>
      </c>
      <c r="C47" s="24" t="s">
        <v>125</v>
      </c>
      <c r="D47" s="25">
        <v>46342.0</v>
      </c>
      <c r="E47" s="25">
        <v>46355.0</v>
      </c>
      <c r="F47" s="24">
        <f t="shared" si="1"/>
        <v>2</v>
      </c>
      <c r="G47" s="26">
        <v>0.0</v>
      </c>
      <c r="H47" s="31" t="s">
        <v>86</v>
      </c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46"/>
      <c r="X47" s="46"/>
      <c r="Y47" s="29"/>
      <c r="Z47" s="29"/>
      <c r="AA47" s="29"/>
      <c r="AB47" s="29"/>
      <c r="AC47" s="29"/>
      <c r="AD47" s="29"/>
      <c r="AE47" s="29"/>
      <c r="AF47" s="29"/>
      <c r="AG47" s="29"/>
      <c r="AH47" s="29"/>
    </row>
    <row r="48" ht="15.75" customHeight="1">
      <c r="A48" s="24" t="s">
        <v>158</v>
      </c>
      <c r="B48" s="24" t="s">
        <v>159</v>
      </c>
      <c r="C48" s="24" t="s">
        <v>120</v>
      </c>
      <c r="D48" s="25">
        <v>46349.0</v>
      </c>
      <c r="E48" s="25">
        <v>46369.0</v>
      </c>
      <c r="F48" s="24">
        <f t="shared" si="1"/>
        <v>3</v>
      </c>
      <c r="G48" s="26">
        <v>0.5</v>
      </c>
      <c r="H48" s="30" t="s">
        <v>73</v>
      </c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46"/>
      <c r="Y48" s="46"/>
      <c r="Z48" s="46"/>
      <c r="AA48" s="29"/>
      <c r="AB48" s="29"/>
      <c r="AC48" s="29"/>
      <c r="AD48" s="29"/>
      <c r="AE48" s="29"/>
      <c r="AF48" s="29"/>
      <c r="AG48" s="29"/>
      <c r="AH48" s="29"/>
    </row>
    <row r="49" ht="15.75" customHeight="1">
      <c r="A49" s="24" t="s">
        <v>160</v>
      </c>
      <c r="B49" s="24" t="s">
        <v>161</v>
      </c>
      <c r="C49" s="24" t="s">
        <v>125</v>
      </c>
      <c r="D49" s="25">
        <v>46307.0</v>
      </c>
      <c r="E49" s="25">
        <v>46355.0</v>
      </c>
      <c r="F49" s="24">
        <f t="shared" si="1"/>
        <v>7</v>
      </c>
      <c r="G49" s="26">
        <v>0.5</v>
      </c>
      <c r="H49" s="30" t="s">
        <v>73</v>
      </c>
      <c r="I49" s="29"/>
      <c r="J49" s="29"/>
      <c r="K49" s="29"/>
      <c r="L49" s="29"/>
      <c r="M49" s="29"/>
      <c r="N49" s="29"/>
      <c r="O49" s="29"/>
      <c r="P49" s="29"/>
      <c r="Q49" s="29"/>
      <c r="R49" s="46"/>
      <c r="S49" s="46"/>
      <c r="T49" s="46"/>
      <c r="U49" s="46"/>
      <c r="V49" s="46"/>
      <c r="W49" s="46"/>
      <c r="X49" s="46"/>
      <c r="Y49" s="29"/>
      <c r="Z49" s="29"/>
      <c r="AA49" s="29"/>
      <c r="AB49" s="29"/>
      <c r="AC49" s="29"/>
      <c r="AD49" s="29"/>
      <c r="AE49" s="29"/>
      <c r="AF49" s="29"/>
      <c r="AG49" s="29"/>
      <c r="AH49" s="29"/>
    </row>
    <row r="50" ht="15.75" customHeight="1">
      <c r="A50" s="24" t="s">
        <v>162</v>
      </c>
      <c r="B50" s="24" t="s">
        <v>163</v>
      </c>
      <c r="C50" s="24" t="s">
        <v>125</v>
      </c>
      <c r="D50" s="25">
        <v>46307.0</v>
      </c>
      <c r="E50" s="25">
        <v>46369.0</v>
      </c>
      <c r="F50" s="24">
        <f t="shared" si="1"/>
        <v>9</v>
      </c>
      <c r="G50" s="26">
        <v>0.5</v>
      </c>
      <c r="H50" s="30" t="s">
        <v>73</v>
      </c>
      <c r="I50" s="29"/>
      <c r="J50" s="29"/>
      <c r="K50" s="29"/>
      <c r="L50" s="29"/>
      <c r="M50" s="29"/>
      <c r="N50" s="29"/>
      <c r="O50" s="29"/>
      <c r="P50" s="29"/>
      <c r="Q50" s="29"/>
      <c r="R50" s="46"/>
      <c r="S50" s="46"/>
      <c r="T50" s="46"/>
      <c r="U50" s="46"/>
      <c r="V50" s="46"/>
      <c r="W50" s="46"/>
      <c r="X50" s="46"/>
      <c r="Y50" s="46"/>
      <c r="Z50" s="46"/>
      <c r="AA50" s="29"/>
      <c r="AB50" s="29"/>
      <c r="AC50" s="29"/>
      <c r="AD50" s="29"/>
      <c r="AE50" s="29"/>
      <c r="AF50" s="29"/>
      <c r="AG50" s="29"/>
      <c r="AH50" s="29"/>
    </row>
    <row r="51" ht="15.75" customHeight="1">
      <c r="A51" s="24" t="s">
        <v>164</v>
      </c>
      <c r="B51" s="24" t="s">
        <v>165</v>
      </c>
      <c r="C51" s="24" t="s">
        <v>125</v>
      </c>
      <c r="D51" s="25">
        <v>46307.0</v>
      </c>
      <c r="E51" s="25">
        <v>46369.0</v>
      </c>
      <c r="F51" s="24">
        <f t="shared" si="1"/>
        <v>9</v>
      </c>
      <c r="G51" s="26">
        <v>0.0</v>
      </c>
      <c r="H51" s="31" t="s">
        <v>86</v>
      </c>
      <c r="I51" s="29"/>
      <c r="J51" s="29"/>
      <c r="K51" s="29"/>
      <c r="L51" s="29"/>
      <c r="M51" s="29"/>
      <c r="N51" s="29"/>
      <c r="O51" s="29"/>
      <c r="P51" s="29"/>
      <c r="Q51" s="29"/>
      <c r="R51" s="46"/>
      <c r="S51" s="46"/>
      <c r="T51" s="46"/>
      <c r="U51" s="46"/>
      <c r="V51" s="46"/>
      <c r="W51" s="46"/>
      <c r="X51" s="46"/>
      <c r="Y51" s="46"/>
      <c r="Z51" s="46"/>
      <c r="AA51" s="29"/>
      <c r="AB51" s="29"/>
      <c r="AC51" s="29"/>
      <c r="AD51" s="29"/>
      <c r="AE51" s="29"/>
      <c r="AF51" s="29"/>
      <c r="AG51" s="29"/>
      <c r="AH51" s="29"/>
    </row>
    <row r="52" ht="15.75" customHeight="1">
      <c r="A52" s="47" t="s">
        <v>166</v>
      </c>
      <c r="B52" s="47" t="s">
        <v>167</v>
      </c>
      <c r="C52" s="47" t="s">
        <v>89</v>
      </c>
      <c r="D52" s="48">
        <v>46370.0</v>
      </c>
      <c r="E52" s="48">
        <v>46397.0</v>
      </c>
      <c r="F52" s="47">
        <f t="shared" si="1"/>
        <v>4</v>
      </c>
      <c r="G52" s="49">
        <v>0.0</v>
      </c>
      <c r="H52" s="47" t="s">
        <v>86</v>
      </c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50"/>
      <c r="AB52" s="50"/>
      <c r="AC52" s="50"/>
      <c r="AD52" s="50"/>
      <c r="AE52" s="23"/>
      <c r="AF52" s="23"/>
      <c r="AG52" s="23"/>
      <c r="AH52" s="23"/>
    </row>
    <row r="53" ht="15.75" customHeight="1">
      <c r="A53" s="24" t="s">
        <v>168</v>
      </c>
      <c r="B53" s="24" t="s">
        <v>169</v>
      </c>
      <c r="C53" s="24" t="s">
        <v>89</v>
      </c>
      <c r="D53" s="25">
        <v>46363.0</v>
      </c>
      <c r="E53" s="25">
        <v>46376.0</v>
      </c>
      <c r="F53" s="24">
        <f t="shared" si="1"/>
        <v>2</v>
      </c>
      <c r="G53" s="26">
        <v>0.0</v>
      </c>
      <c r="H53" s="31" t="s">
        <v>86</v>
      </c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51"/>
      <c r="AA53" s="51"/>
      <c r="AB53" s="29"/>
      <c r="AC53" s="29"/>
      <c r="AD53" s="29"/>
      <c r="AE53" s="29"/>
      <c r="AF53" s="29"/>
      <c r="AG53" s="29"/>
      <c r="AH53" s="29"/>
    </row>
    <row r="54" ht="15.75" customHeight="1">
      <c r="A54" s="24" t="s">
        <v>170</v>
      </c>
      <c r="B54" s="24" t="s">
        <v>171</v>
      </c>
      <c r="C54" s="24" t="s">
        <v>108</v>
      </c>
      <c r="D54" s="25">
        <v>46370.0</v>
      </c>
      <c r="E54" s="25">
        <v>46383.0</v>
      </c>
      <c r="F54" s="24">
        <f t="shared" si="1"/>
        <v>2</v>
      </c>
      <c r="G54" s="26">
        <v>0.0</v>
      </c>
      <c r="H54" s="31" t="s">
        <v>86</v>
      </c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51"/>
      <c r="AB54" s="51"/>
      <c r="AC54" s="29"/>
      <c r="AD54" s="29"/>
      <c r="AE54" s="29"/>
      <c r="AF54" s="29"/>
      <c r="AG54" s="29"/>
      <c r="AH54" s="29"/>
    </row>
    <row r="55" ht="15.75" customHeight="1">
      <c r="A55" s="24" t="s">
        <v>172</v>
      </c>
      <c r="B55" s="24" t="s">
        <v>173</v>
      </c>
      <c r="C55" s="24" t="s">
        <v>133</v>
      </c>
      <c r="D55" s="25">
        <v>46377.0</v>
      </c>
      <c r="E55" s="25">
        <v>46383.0</v>
      </c>
      <c r="F55" s="24">
        <f t="shared" si="1"/>
        <v>1</v>
      </c>
      <c r="G55" s="26">
        <v>0.0</v>
      </c>
      <c r="H55" s="31" t="s">
        <v>86</v>
      </c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51"/>
      <c r="AC55" s="29"/>
      <c r="AD55" s="29"/>
      <c r="AE55" s="29"/>
      <c r="AF55" s="29"/>
      <c r="AG55" s="29"/>
      <c r="AH55" s="29"/>
    </row>
    <row r="56" ht="15.75" customHeight="1">
      <c r="A56" s="24" t="s">
        <v>174</v>
      </c>
      <c r="B56" s="24" t="s">
        <v>175</v>
      </c>
      <c r="C56" s="24" t="s">
        <v>89</v>
      </c>
      <c r="D56" s="25">
        <v>46377.0</v>
      </c>
      <c r="E56" s="25">
        <v>46390.0</v>
      </c>
      <c r="F56" s="24">
        <f t="shared" si="1"/>
        <v>2</v>
      </c>
      <c r="G56" s="26">
        <v>0.0</v>
      </c>
      <c r="H56" s="31" t="s">
        <v>86</v>
      </c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51"/>
      <c r="AC56" s="51"/>
      <c r="AD56" s="29"/>
      <c r="AE56" s="29"/>
      <c r="AF56" s="29"/>
      <c r="AG56" s="29"/>
      <c r="AH56" s="29"/>
    </row>
    <row r="57" ht="15.75" customHeight="1">
      <c r="A57" s="24" t="s">
        <v>176</v>
      </c>
      <c r="B57" s="24" t="s">
        <v>177</v>
      </c>
      <c r="C57" s="24" t="s">
        <v>133</v>
      </c>
      <c r="D57" s="25">
        <v>46384.0</v>
      </c>
      <c r="E57" s="25">
        <v>46390.0</v>
      </c>
      <c r="F57" s="24">
        <f t="shared" si="1"/>
        <v>1</v>
      </c>
      <c r="G57" s="26">
        <v>0.0</v>
      </c>
      <c r="H57" s="31" t="s">
        <v>86</v>
      </c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51"/>
      <c r="AD57" s="29"/>
      <c r="AE57" s="29"/>
      <c r="AF57" s="29"/>
      <c r="AG57" s="29"/>
      <c r="AH57" s="29"/>
    </row>
    <row r="58" ht="15.75" customHeight="1">
      <c r="A58" s="24" t="s">
        <v>178</v>
      </c>
      <c r="B58" s="24" t="s">
        <v>179</v>
      </c>
      <c r="C58" s="24" t="s">
        <v>108</v>
      </c>
      <c r="D58" s="25">
        <v>46384.0</v>
      </c>
      <c r="E58" s="25">
        <v>46397.0</v>
      </c>
      <c r="F58" s="24">
        <f t="shared" si="1"/>
        <v>2</v>
      </c>
      <c r="G58" s="26">
        <v>0.0</v>
      </c>
      <c r="H58" s="31" t="s">
        <v>86</v>
      </c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51"/>
      <c r="AD58" s="51"/>
      <c r="AE58" s="29"/>
      <c r="AF58" s="29"/>
      <c r="AG58" s="29"/>
      <c r="AH58" s="29"/>
    </row>
    <row r="59" ht="15.75" customHeight="1">
      <c r="A59" s="24" t="s">
        <v>180</v>
      </c>
      <c r="B59" s="24" t="s">
        <v>181</v>
      </c>
      <c r="C59" s="24" t="s">
        <v>120</v>
      </c>
      <c r="D59" s="25">
        <v>46370.0</v>
      </c>
      <c r="E59" s="25">
        <v>46397.0</v>
      </c>
      <c r="F59" s="24">
        <f t="shared" si="1"/>
        <v>4</v>
      </c>
      <c r="G59" s="26">
        <v>0.0</v>
      </c>
      <c r="H59" s="31" t="s">
        <v>86</v>
      </c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51"/>
      <c r="AB59" s="51"/>
      <c r="AC59" s="51"/>
      <c r="AD59" s="51"/>
      <c r="AE59" s="29"/>
      <c r="AF59" s="29"/>
      <c r="AG59" s="29"/>
      <c r="AH59" s="29"/>
    </row>
    <row r="60" ht="15.75" customHeight="1">
      <c r="A60" s="24" t="s">
        <v>182</v>
      </c>
      <c r="B60" s="24" t="s">
        <v>183</v>
      </c>
      <c r="C60" s="24" t="s">
        <v>89</v>
      </c>
      <c r="D60" s="25">
        <v>46391.0</v>
      </c>
      <c r="E60" s="25">
        <v>46397.0</v>
      </c>
      <c r="F60" s="24">
        <f t="shared" si="1"/>
        <v>1</v>
      </c>
      <c r="G60" s="26">
        <v>0.0</v>
      </c>
      <c r="H60" s="31" t="s">
        <v>86</v>
      </c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51"/>
      <c r="AE60" s="29"/>
      <c r="AF60" s="29"/>
      <c r="AG60" s="29"/>
      <c r="AH60" s="29"/>
    </row>
    <row r="61" ht="15.75" customHeight="1">
      <c r="A61" s="52" t="s">
        <v>184</v>
      </c>
      <c r="B61" s="52" t="s">
        <v>185</v>
      </c>
      <c r="C61" s="52" t="s">
        <v>133</v>
      </c>
      <c r="D61" s="53">
        <v>46398.0</v>
      </c>
      <c r="E61" s="53">
        <v>46425.0</v>
      </c>
      <c r="F61" s="52">
        <f t="shared" si="1"/>
        <v>4</v>
      </c>
      <c r="G61" s="54">
        <v>0.0</v>
      </c>
      <c r="H61" s="52" t="s">
        <v>86</v>
      </c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55"/>
      <c r="AF61" s="55"/>
      <c r="AG61" s="55"/>
      <c r="AH61" s="55"/>
    </row>
    <row r="62" ht="15.75" customHeight="1">
      <c r="A62" s="24" t="s">
        <v>186</v>
      </c>
      <c r="B62" s="24" t="s">
        <v>187</v>
      </c>
      <c r="C62" s="24" t="s">
        <v>125</v>
      </c>
      <c r="D62" s="25">
        <v>46398.0</v>
      </c>
      <c r="E62" s="25">
        <v>46404.0</v>
      </c>
      <c r="F62" s="24">
        <f t="shared" si="1"/>
        <v>1</v>
      </c>
      <c r="G62" s="26">
        <v>0.0</v>
      </c>
      <c r="H62" s="31" t="s">
        <v>86</v>
      </c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56"/>
      <c r="AF62" s="29"/>
      <c r="AG62" s="29"/>
      <c r="AH62" s="29"/>
    </row>
    <row r="63" ht="15.75" customHeight="1">
      <c r="A63" s="24" t="s">
        <v>188</v>
      </c>
      <c r="B63" s="24" t="s">
        <v>189</v>
      </c>
      <c r="C63" s="24" t="s">
        <v>125</v>
      </c>
      <c r="D63" s="25">
        <v>46398.0</v>
      </c>
      <c r="E63" s="25">
        <v>46411.0</v>
      </c>
      <c r="F63" s="24">
        <f t="shared" si="1"/>
        <v>2</v>
      </c>
      <c r="G63" s="26">
        <v>0.0</v>
      </c>
      <c r="H63" s="31" t="s">
        <v>86</v>
      </c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56"/>
      <c r="AF63" s="56"/>
      <c r="AG63" s="29"/>
      <c r="AH63" s="29"/>
    </row>
    <row r="64" ht="15.75" customHeight="1">
      <c r="A64" s="24" t="s">
        <v>190</v>
      </c>
      <c r="B64" s="24" t="s">
        <v>191</v>
      </c>
      <c r="C64" s="24" t="s">
        <v>133</v>
      </c>
      <c r="D64" s="25">
        <v>46398.0</v>
      </c>
      <c r="E64" s="25">
        <v>46404.0</v>
      </c>
      <c r="F64" s="24">
        <f t="shared" si="1"/>
        <v>1</v>
      </c>
      <c r="G64" s="26">
        <v>0.0</v>
      </c>
      <c r="H64" s="31" t="s">
        <v>86</v>
      </c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56"/>
      <c r="AF64" s="29"/>
      <c r="AG64" s="29"/>
      <c r="AH64" s="29"/>
    </row>
    <row r="65" ht="15.75" customHeight="1">
      <c r="A65" s="24" t="s">
        <v>192</v>
      </c>
      <c r="B65" s="24" t="s">
        <v>193</v>
      </c>
      <c r="C65" s="24" t="s">
        <v>120</v>
      </c>
      <c r="D65" s="25">
        <v>46405.0</v>
      </c>
      <c r="E65" s="25">
        <v>46425.0</v>
      </c>
      <c r="F65" s="24">
        <f t="shared" si="1"/>
        <v>3</v>
      </c>
      <c r="G65" s="26">
        <v>0.0</v>
      </c>
      <c r="H65" s="31" t="s">
        <v>86</v>
      </c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56"/>
      <c r="AG65" s="56"/>
      <c r="AH65" s="56"/>
    </row>
    <row r="66" ht="15.75" customHeight="1">
      <c r="A66" s="24" t="s">
        <v>194</v>
      </c>
      <c r="B66" s="24" t="s">
        <v>195</v>
      </c>
      <c r="C66" s="24" t="s">
        <v>108</v>
      </c>
      <c r="D66" s="25">
        <v>46405.0</v>
      </c>
      <c r="E66" s="25">
        <v>46418.0</v>
      </c>
      <c r="F66" s="24">
        <f t="shared" si="1"/>
        <v>2</v>
      </c>
      <c r="G66" s="26">
        <v>0.0</v>
      </c>
      <c r="H66" s="31" t="s">
        <v>86</v>
      </c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  <c r="AF66" s="56"/>
      <c r="AG66" s="56"/>
      <c r="AH66" s="29"/>
    </row>
    <row r="67" ht="15.75" customHeight="1">
      <c r="A67" s="24" t="s">
        <v>196</v>
      </c>
      <c r="B67" s="24" t="s">
        <v>197</v>
      </c>
      <c r="C67" s="24" t="s">
        <v>89</v>
      </c>
      <c r="D67" s="25">
        <v>46405.0</v>
      </c>
      <c r="E67" s="25">
        <v>46418.0</v>
      </c>
      <c r="F67" s="24">
        <f t="shared" si="1"/>
        <v>2</v>
      </c>
      <c r="G67" s="26">
        <v>0.0</v>
      </c>
      <c r="H67" s="31" t="s">
        <v>86</v>
      </c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56"/>
      <c r="AG67" s="56"/>
      <c r="AH67" s="29"/>
    </row>
    <row r="68" ht="15.75" customHeight="1">
      <c r="A68" s="24" t="s">
        <v>198</v>
      </c>
      <c r="B68" s="24" t="s">
        <v>199</v>
      </c>
      <c r="C68" s="24" t="s">
        <v>76</v>
      </c>
      <c r="D68" s="25">
        <v>46412.0</v>
      </c>
      <c r="E68" s="25">
        <v>46418.0</v>
      </c>
      <c r="F68" s="24">
        <f t="shared" si="1"/>
        <v>1</v>
      </c>
      <c r="G68" s="26">
        <v>0.0</v>
      </c>
      <c r="H68" s="31" t="s">
        <v>86</v>
      </c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F68" s="29"/>
      <c r="AG68" s="56"/>
      <c r="AH68" s="29"/>
    </row>
    <row r="69" ht="15.75" customHeight="1">
      <c r="A69" s="24" t="s">
        <v>200</v>
      </c>
      <c r="B69" s="24" t="s">
        <v>201</v>
      </c>
      <c r="C69" s="24" t="s">
        <v>202</v>
      </c>
      <c r="D69" s="25">
        <v>46419.0</v>
      </c>
      <c r="E69" s="25">
        <v>46425.0</v>
      </c>
      <c r="F69" s="24">
        <f t="shared" si="1"/>
        <v>1</v>
      </c>
      <c r="G69" s="26">
        <v>0.0</v>
      </c>
      <c r="H69" s="31" t="s">
        <v>86</v>
      </c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/>
      <c r="AG69" s="29"/>
      <c r="AH69" s="56"/>
    </row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A1:AH1"/>
    <mergeCell ref="A2:AH2"/>
    <mergeCell ref="C4:E4"/>
    <mergeCell ref="F4:G4"/>
    <mergeCell ref="H4:J4"/>
    <mergeCell ref="K4:L4"/>
    <mergeCell ref="M4:O4"/>
    <mergeCell ref="H5:J5"/>
    <mergeCell ref="I8:K8"/>
    <mergeCell ref="L8:N8"/>
    <mergeCell ref="O8:Q8"/>
    <mergeCell ref="R8:Z8"/>
    <mergeCell ref="AA8:AD8"/>
    <mergeCell ref="AE8:AH8"/>
    <mergeCell ref="A4:B4"/>
    <mergeCell ref="A5:B5"/>
    <mergeCell ref="C5:E5"/>
    <mergeCell ref="F5:G5"/>
    <mergeCell ref="K5:L5"/>
    <mergeCell ref="M5:O5"/>
    <mergeCell ref="A6:O6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0"/>
    <col customWidth="1" min="2" max="2" width="24.0"/>
    <col customWidth="1" min="3" max="3" width="58.0"/>
    <col customWidth="1" min="4" max="4" width="85.0"/>
    <col customWidth="1" min="5" max="26" width="8.63"/>
  </cols>
  <sheetData>
    <row r="1">
      <c r="A1" s="2" t="s">
        <v>1</v>
      </c>
      <c r="B1" s="2" t="s">
        <v>3</v>
      </c>
      <c r="C1" s="2" t="s">
        <v>4</v>
      </c>
      <c r="D1" s="2" t="s">
        <v>5</v>
      </c>
    </row>
    <row r="2">
      <c r="A2" s="4" t="s">
        <v>6</v>
      </c>
      <c r="B2" s="4" t="s">
        <v>8</v>
      </c>
      <c r="C2" s="4" t="s">
        <v>9</v>
      </c>
      <c r="D2" s="4" t="s">
        <v>10</v>
      </c>
    </row>
    <row r="3">
      <c r="A3" s="4" t="s">
        <v>6</v>
      </c>
      <c r="B3" s="4" t="s">
        <v>11</v>
      </c>
      <c r="C3" s="4" t="s">
        <v>12</v>
      </c>
      <c r="D3" s="4" t="s">
        <v>13</v>
      </c>
    </row>
    <row r="4">
      <c r="A4" s="4" t="s">
        <v>15</v>
      </c>
      <c r="B4" s="4" t="s">
        <v>16</v>
      </c>
      <c r="C4" s="4" t="s">
        <v>17</v>
      </c>
      <c r="D4" s="4" t="s">
        <v>18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