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Portada y control" sheetId="1" r:id="rId5"/>
    <sheet state="visible" name="Matriz de Riesgos" sheetId="2" r:id="rId6"/>
    <sheet state="visible" name="Escalas" sheetId="3" r:id="rId7"/>
    <sheet state="visible" name="Resumen" sheetId="4" r:id="rId8"/>
    <sheet state="visible" name="Referencias" sheetId="5" r:id="rId9"/>
    <sheet state="visible" name="Criterio de integración" sheetId="6" r:id="rId10"/>
    <sheet state="visible" name="Mapa de Riesgos" sheetId="7" r:id="rId11"/>
  </sheets>
  <definedNames/>
  <calcPr/>
</workbook>
</file>

<file path=xl/sharedStrings.xml><?xml version="1.0" encoding="utf-8"?>
<sst xmlns="http://schemas.openxmlformats.org/spreadsheetml/2006/main" count="923" uniqueCount="558">
  <si>
    <t>PROYECTO SYNTRO</t>
  </si>
  <si>
    <t>Matriz de Riesgos</t>
  </si>
  <si>
    <t>Documento de gestión · Metodología Cascada (SDLC)</t>
  </si>
  <si>
    <t>Campo</t>
  </si>
  <si>
    <t>Información</t>
  </si>
  <si>
    <t>Organización beneficiaria</t>
  </si>
  <si>
    <t>Hospital Dr. Sótero del Río</t>
  </si>
  <si>
    <t>Proyecto</t>
  </si>
  <si>
    <t>SYNTRO</t>
  </si>
  <si>
    <t>Código documental</t>
  </si>
  <si>
    <t>SYNTRO-PM-005</t>
  </si>
  <si>
    <t>Versión / estado</t>
  </si>
  <si>
    <t>v0.3 · Borrador para revisión</t>
  </si>
  <si>
    <t>Fecha</t>
  </si>
  <si>
    <t>11-10-2026</t>
  </si>
  <si>
    <t>Directora del Proyecto</t>
  </si>
  <si>
    <t>Constanza Gaete</t>
  </si>
  <si>
    <t>Responsable de elaboración</t>
  </si>
  <si>
    <t>Antonia Pacheco</t>
  </si>
  <si>
    <t>Patrocinador institucional</t>
  </si>
  <si>
    <t>Jefatura del Departamento de Tecnologías de la Información</t>
  </si>
  <si>
    <t>ESCALAS DE VALORACIÓN</t>
  </si>
  <si>
    <t>Patrocinador funcional</t>
  </si>
  <si>
    <t>Coordinador de Proyectos y Administrador de Contratos TIC</t>
  </si>
  <si>
    <t>Contraparte técnica principal</t>
  </si>
  <si>
    <t>Jefatura de la Unidad Infraestructura, Redes y Soporte</t>
  </si>
  <si>
    <t>Equipo ejecutor</t>
  </si>
  <si>
    <t>Antonia Pacheco · Constanza Gaete · Paolo Vilches</t>
  </si>
  <si>
    <t>Propósito</t>
  </si>
  <si>
    <t>Valor</t>
  </si>
  <si>
    <t>Identificar, valorar y dar seguimiento a los riesgos que podrían afectar el alcance, plazo, calidad, seguridad, datos, infraestructura y aceptación del Proyecto SYNTRO. La matriz utiliza probabilidad e impacto en escala de 1 a 5, calcula la exposición inicial (P × I) y registra la respuesta, contingencia y riesgo residual.</t>
  </si>
  <si>
    <t>Probabilidad</t>
  </si>
  <si>
    <t>Criterio orientativo</t>
  </si>
  <si>
    <t>Impacto</t>
  </si>
  <si>
    <t>Control documental</t>
  </si>
  <si>
    <t>Muy baja</t>
  </si>
  <si>
    <t>Evento excepcional o poco probable durante el proyecto.</t>
  </si>
  <si>
    <t>Menor: efecto acotado sin comprometer entregables.</t>
  </si>
  <si>
    <t>Baja</t>
  </si>
  <si>
    <t>Podría ocurrir, pero existen condiciones favorables para evitarlo.</t>
  </si>
  <si>
    <t>Bajo: retrabajo menor o demora recuperable.</t>
  </si>
  <si>
    <t>Media</t>
  </si>
  <si>
    <t>Existe una posibilidad razonable de ocurrencia.</t>
  </si>
  <si>
    <t>Moderado: afecta una actividad/hito y requiere corrección.</t>
  </si>
  <si>
    <t>Alta</t>
  </si>
  <si>
    <t>Es probable que ocurra si no se actúa preventivamente.</t>
  </si>
  <si>
    <t>Alto: compromete entregables, plazo, calidad o aceptación.</t>
  </si>
  <si>
    <t>Muy alta</t>
  </si>
  <si>
    <t>Se espera que ocurra o ya existen señales frecuentes.</t>
  </si>
  <si>
    <t>Crítico: puede bloquear el proyecto, afectar seguridad/datos o impedir implantación.</t>
  </si>
  <si>
    <t>Versión</t>
  </si>
  <si>
    <t>Exposición (P×I)</t>
  </si>
  <si>
    <t>Nivel</t>
  </si>
  <si>
    <t>Criterio</t>
  </si>
  <si>
    <t>Responsable</t>
  </si>
  <si>
    <t>1–4</t>
  </si>
  <si>
    <t>Descripción del cambio</t>
  </si>
  <si>
    <t>Bajo</t>
  </si>
  <si>
    <t>Seguimiento normal.</t>
  </si>
  <si>
    <t>5–9</t>
  </si>
  <si>
    <t>Estado</t>
  </si>
  <si>
    <t>Medio</t>
  </si>
  <si>
    <t>Mitigación planificada y revisión periódica.</t>
  </si>
  <si>
    <t>Aprobación</t>
  </si>
  <si>
    <t>10–14</t>
  </si>
  <si>
    <t>Alto</t>
  </si>
  <si>
    <t>Acción prioritaria y seguimiento cercano.</t>
  </si>
  <si>
    <t>0.1</t>
  </si>
  <si>
    <t>15–25</t>
  </si>
  <si>
    <t>Crítico</t>
  </si>
  <si>
    <t>Tratamiento inmediato y escalamiento si corresponde.</t>
  </si>
  <si>
    <t>Criterio de uso</t>
  </si>
  <si>
    <t>Creación de la matriz inicial de riesgos, escalas, resumen y trazabilidad con la EDT.</t>
  </si>
  <si>
    <t>Borrador</t>
  </si>
  <si>
    <t>Pendiente</t>
  </si>
  <si>
    <t>La exposición inicial representa el riesgo antes de aplicar el tratamiento propuesto. El riesgo residual estima la exposición esperada después de implementar las medidas. Los valores son una línea base para revisión: si cambia el contexto, la probabilidad, impacto o tratamiento deben actualizarse y registrarse.</t>
  </si>
  <si>
    <t>0.2</t>
  </si>
  <si>
    <t>Consolidación de la matriz inicial con 22 riesgos adicionales/aportados; eliminación de duplicados, reformulación específica y tratamiento del riesgo por cambios de edificios/containers.</t>
  </si>
  <si>
    <t>SYNTRO · MATRIZ DE RIESGOS DEL PROYECTO</t>
  </si>
  <si>
    <t>0.3</t>
  </si>
  <si>
    <t>12-10-2026</t>
  </si>
  <si>
    <t>Se incorpora hoja “Mapa de Riesgos” con matriz visual Probabilidad × Impacto, niveles por color y detalle de riesgos.</t>
  </si>
  <si>
    <t>Versión 0.3 · Matriz consolidada con mapa visual Probabilidad × Impacto. La valoración inicial y residual debe revisarse periódicamente con el equipo y las contrapartes.</t>
  </si>
  <si>
    <t>Nota: La valoración contenida en esta versión es una línea base inicial y debe revisarse periódicamente durante el ciclo de vida del proyecto.</t>
  </si>
  <si>
    <t>ID</t>
  </si>
  <si>
    <t>Categoría</t>
  </si>
  <si>
    <t>Riesgo</t>
  </si>
  <si>
    <t>Causa / origen</t>
  </si>
  <si>
    <t>Consecuencia</t>
  </si>
  <si>
    <t>Prob.</t>
  </si>
  <si>
    <t>Exposición</t>
  </si>
  <si>
    <t>Estrategia</t>
  </si>
  <si>
    <t>Respuesta preventiva / mitigación</t>
  </si>
  <si>
    <t>Plan de contingencia</t>
  </si>
  <si>
    <t>Indicador / disparador</t>
  </si>
  <si>
    <t>EDT relacionada</t>
  </si>
  <si>
    <t>Prob. residual</t>
  </si>
  <si>
    <t>Impacto residual</t>
  </si>
  <si>
    <t>Riesgo residual</t>
  </si>
  <si>
    <t>R-01</t>
  </si>
  <si>
    <t>Técnico / Datos espaciales</t>
  </si>
  <si>
    <t>La información espacial inicial (planos, edificios, pisos, salas y containers) es incompleta, desactualizada o insuficientemente precisa para construir el mapa y validar rutas.</t>
  </si>
  <si>
    <t>Los antecedentes físicos pueden provenir de fuentes heterogéneas y no siempre reflejar la configuración vigente del recinto.</t>
  </si>
  <si>
    <t>El mapa puede iniciar con ubicaciones imprecisas y las rutas físicas podrían no ser verificables para todas las áreas.</t>
  </si>
  <si>
    <t>FUENTES Y TRAZABILIDAD</t>
  </si>
  <si>
    <t>Mitigar</t>
  </si>
  <si>
    <t>Fuente</t>
  </si>
  <si>
    <t>Solicitar y validar la mejor línea base espacial disponible; distinguir jerarquía lógica de geometría/rutas; definir un nivel mínimo viable edificio/piso/sala cuando no exista información suficiente para rutas.</t>
  </si>
  <si>
    <t>Uso en la matriz</t>
  </si>
  <si>
    <t>Enlace</t>
  </si>
  <si>
    <t>Acta de Constitución SYNTRO v1.0</t>
  </si>
  <si>
    <t>Habilitar el sector con jerarquía básica y marcar rutas/planos como pendientes de validación, sin bloquear el resto del inventario.</t>
  </si>
  <si>
    <t>Contexto, alcance, gobernanza, restricciones, despliegue on-premise, telemetría y criterios de éxito.</t>
  </si>
  <si>
    <t>Fuente del proyecto</t>
  </si>
  <si>
    <t>https://docs.google.com/document/d/1Z4sQLV1Gpt-3iqLn-2WyJnP0JxsIxflW/edit</t>
  </si>
  <si>
    <t>Especificación de Requisitos SYNTRO v0.8</t>
  </si>
  <si>
    <t>Requisitos, reglas de negocio y pendientes de alcance; destaca que la edición de edificios/salas/rutas aún debe cerrarse como decisión de MVP.</t>
  </si>
  <si>
    <t>https://docs.google.com/document/d/13iLA7ADQ60W7a4FgU82ECyFPUHtXISBh/edit</t>
  </si>
  <si>
    <t>Contraparte Infraestructura / Equipo SYNTRO</t>
  </si>
  <si>
    <t>Guía de Artefactos Metodológicos - Cascada (SDLC) - SYNTRO</t>
  </si>
  <si>
    <t>Define la matriz de riesgos como artefacto formal de planificación y sus ámbitos mínimos.</t>
  </si>
  <si>
    <t>Fuente metodológica interna</t>
  </si>
  <si>
    <t>https://docs.google.com/document/d/1zvGYEDeb5kOF6Z5Hi7ye-sjMk2iLRXI9DGJW7qkIzSQ/edit</t>
  </si>
  <si>
    <t>EDT - Hitos de desarrollo y diccionario (WBS)</t>
  </si>
  <si>
    <t>Trazabilidad de los riesgos con las etapas y paquetes de trabajo.</t>
  </si>
  <si>
    <t>Fuente de planificación</t>
  </si>
  <si>
    <t>Edificio/sala sin plano o coordenadas confiables; diferencias entre recorrido real y representación del mapa.</t>
  </si>
  <si>
    <t>https://docs.google.com/spreadsheets/d/1r_x1ZpkI6-e_7ZTKErGfESnTzTczXmwIDsju3WPbqcM/edit</t>
  </si>
  <si>
    <t>Lista consolidada de 22 riesgos aportada por el equipo (11-10-2026)</t>
  </si>
  <si>
    <t>Se comparó con la matriz v0.1; se fusionaron duplicados, se hicieron descripciones más específicas y se incorporaron riesgos faltantes.</t>
  </si>
  <si>
    <t>Fuente interna del equipo</t>
  </si>
  <si>
    <t>Sin enlace externo</t>
  </si>
  <si>
    <t>Referencia visual de matriz de riesgos aportada por el equipo (12-10-2026)</t>
  </si>
  <si>
    <t>Abierto</t>
  </si>
  <si>
    <t>Inspiración de diseño para la hoja “Mapa de Riesgos”: cuadrícula 5×5 con Probabilidad en eje vertical e Impacto/Gravedad en eje horizontal.</t>
  </si>
  <si>
    <t>Referencia visual</t>
  </si>
  <si>
    <t>Imagen adjunta en la conversación del proyecto</t>
  </si>
  <si>
    <t>1.2 / 1.3 / 1.4 / 1.5</t>
  </si>
  <si>
    <t>R-02</t>
  </si>
  <si>
    <t>Operacional / Estructura física</t>
  </si>
  <si>
    <t>Durante la implementación o las pruebas cambian edificios, salas o containers temporales y la línea base usada para validar el mapa queda desactualizada.</t>
  </si>
  <si>
    <t>El hospital puede arrendar, instalar, trasladar o retirar containers y modificar dependencias mientras el proyecto está en ejecución.</t>
  </si>
  <si>
    <t>Las pruebas de mapa, ubicación y rutas podrían ejecutarse contra una realidad física distinta y perder validez.</t>
  </si>
  <si>
    <t>Usar la funcionalidad de crear/modificar/desactivar edificios y dependencias; auditar los cambios; acordar un corte de validación antes de UAT/pruebas finales y revisar con Infraestructura si hubo cambios desde el último levantamiento.</t>
  </si>
  <si>
    <t>Actualizar la estructura física, reubicar los activos afectados y repetir solo los casos de prueba impactados; registrar la nueva fecha de corte.</t>
  </si>
  <si>
    <t>Contraparte Infraestructura / Administrador SYNTRO</t>
  </si>
  <si>
    <t>Aviso de nuevo contrato/container, retiro o traslado físico; dependencia nueva no presente en el mapa durante pruebas.</t>
  </si>
  <si>
    <t>1.2 / 1.4 / 1.5 / 1.6</t>
  </si>
  <si>
    <t>R-03</t>
  </si>
  <si>
    <t>Gobernanza / Autorizaciones</t>
  </si>
  <si>
    <t>Las autorizaciones para acceder a redes, datos o infraestructura institucional no se obtienen a tiempo o imponen restricciones no previstas.</t>
  </si>
  <si>
    <t>El proyecto depende de permisos formales de las áreas responsables para operar sobre recursos institucionales.</t>
  </si>
  <si>
    <t>Se pueden bloquear escaneos, pruebas técnicas, uso de datos o el despliegue on-premise.</t>
  </si>
  <si>
    <t>CRITERIO DE INTEGRACIÓN DE RIESGOS · v0.2</t>
  </si>
  <si>
    <t>Se comparó la matriz inicial con la lista de 22 riesgos aportada por el equipo. Los riesgos repetidos se fusionaron cuando compartían causa, consecuencia y tratamiento; cuando una formulación escondía dos problemas distintos, se separó para que cada riesgo tenga un disparador, responsable y respuesta verificables.</t>
  </si>
  <si>
    <t>Solicitar autorizaciones por escrito con anticipación; separar actividades que requieren privilegios; documentar responsable y fecha límite de cada permiso.</t>
  </si>
  <si>
    <t>Continuar con módulos independientes o entorno controlado y escalar el bloqueo al patrocinio funcional/institucional.</t>
  </si>
  <si>
    <t>Riesgo final</t>
  </si>
  <si>
    <t>Dirección del Proyecto / Contraparte TI</t>
  </si>
  <si>
    <t>Origen / equivalencia</t>
  </si>
  <si>
    <t>Solicitud sin respuesta, acceso denegado o condición técnica/política no aprobada.</t>
  </si>
  <si>
    <t>Decisión de integración</t>
  </si>
  <si>
    <t>Qué mejora</t>
  </si>
  <si>
    <t>Documento relacionado</t>
  </si>
  <si>
    <t>Observación</t>
  </si>
  <si>
    <t>1.1 / 1.4 / 1.5 / 1.6</t>
  </si>
  <si>
    <t>Lista R-01</t>
  </si>
  <si>
    <t>Se mantiene independiente</t>
  </si>
  <si>
    <t>RESUMEN DE RIESGOS · SYNTRO</t>
  </si>
  <si>
    <t>Distingue falta de línea base espacial de cambios físicos posteriores.</t>
  </si>
  <si>
    <t>ERS / Plan de Pruebas</t>
  </si>
  <si>
    <t>Las rutas pueden quedar condicionadas a disponibilidad de geometría confiable.</t>
  </si>
  <si>
    <t>Matriz v0.1 R-03 + Lista R-10</t>
  </si>
  <si>
    <t>Reformulado</t>
  </si>
  <si>
    <t>El cambio de edificios/containers no es falla de la funcionalidad: el riesgo es que cambie la realidad durante implementación/pruebas y quede obsoleto el corte de validación.</t>
  </si>
  <si>
    <t>ERS / Casos de Uso / Plan de Pruebas</t>
  </si>
  <si>
    <t>Recomendación: incluir crear/modificar/desactivar edificio/container y caso de prueba de cambio físico.</t>
  </si>
  <si>
    <t>Matriz v0.1 R-01</t>
  </si>
  <si>
    <t>Separa la autorización institucional del riesgo técnico propio del escaneo.</t>
  </si>
  <si>
    <t>Gobernanza / Implantación</t>
  </si>
  <si>
    <t>Afecta red, datos, pruebas y despliegue.</t>
  </si>
  <si>
    <t>R-04</t>
  </si>
  <si>
    <t>Lista R-02 + parte de Matriz v0.1 R-06</t>
  </si>
  <si>
    <t>Fusionado y precisado</t>
  </si>
  <si>
    <t>Se centra en impacto operativo/seguridad del escaneo, no en la calidad de correlación.</t>
  </si>
  <si>
    <t>Indicador</t>
  </si>
  <si>
    <t>ERS / Pruebas</t>
  </si>
  <si>
    <t>Debe probarse detención, parcialidad y límites de ejecución.</t>
  </si>
  <si>
    <t>R-05</t>
  </si>
  <si>
    <t>Lista R-03 + parte de Matriz v0.1 R-06/R-11</t>
  </si>
  <si>
    <t>Separa calidad de correlación de la regla que impide actualizar inventario automáticamente.</t>
  </si>
  <si>
    <t>Riesgo prioritario</t>
  </si>
  <si>
    <t>ERS / Reconciliación</t>
  </si>
  <si>
    <t>P</t>
  </si>
  <si>
    <t>Tasa de coincidencia debe tratarse como KPI diagnóstico.</t>
  </si>
  <si>
    <t>I</t>
  </si>
  <si>
    <t>R-06</t>
  </si>
  <si>
    <t>Lista R-04 + Matriz v0.1 R-15/R-16</t>
  </si>
  <si>
    <t>Fusionado</t>
  </si>
  <si>
    <t>Agrupa deuda técnica, dependencias y concentración de conocimiento técnico.</t>
  </si>
  <si>
    <t>Técnico / Red</t>
  </si>
  <si>
    <t>Arquitectura / Desarrollo</t>
  </si>
  <si>
    <t>Total de riesgos</t>
  </si>
  <si>
    <t>La capacidad del equipo queda tratada además en R-25.</t>
  </si>
  <si>
    <t>R-07</t>
  </si>
  <si>
    <t>El escaneo de red genera carga o interferencia, afecta segmentos sensibles o Ciberseguridad lo bloquea por considerarlo riesgoso.</t>
  </si>
  <si>
    <t>Lista R-05 + Matriz v0.1 R-08/R-16</t>
  </si>
  <si>
    <t>Consolida disponibilidad del ambiente e incompatibilidad del stack.</t>
  </si>
  <si>
    <t>Arquitectura / Implantación</t>
  </si>
  <si>
    <t>La observabilidad de red puede requerir recorrer rangos amplios y operar bajo restricciones de seguridad y disponibilidad hospitalaria.</t>
  </si>
  <si>
    <t>Validar prerrequisitos antes del cierre de diseño.</t>
  </si>
  <si>
    <t>R-08</t>
  </si>
  <si>
    <t>Lista R-06 + Matriz v0.1 R-10</t>
  </si>
  <si>
    <t>Puede afectarse la operación de red o perderse temporalmente la capacidad de observabilidad del MVP.</t>
  </si>
  <si>
    <t>Críticos</t>
  </si>
  <si>
    <t>Mantiene foco verificable en reconstrucción de historial.</t>
  </si>
  <si>
    <t>Caso de prueba específico de auditoría.</t>
  </si>
  <si>
    <t>R-09</t>
  </si>
  <si>
    <t>Lista R-07 + Matriz v0.1 R-14</t>
  </si>
  <si>
    <t>Añade volumen realista y crecimiento de auditoría.</t>
  </si>
  <si>
    <t>Plan de Pruebas</t>
  </si>
  <si>
    <t>Prueba con datos sintéticos/anonimizados.</t>
  </si>
  <si>
    <t>R-10</t>
  </si>
  <si>
    <t>Lista R-08</t>
  </si>
  <si>
    <t>Agregado</t>
  </si>
  <si>
    <t>Se formula de manera condicional: integración institucional solo si la política la exige.</t>
  </si>
  <si>
    <t>ERS / Seguridad</t>
  </si>
  <si>
    <t>No se asume AD/LDAP/SSO como requisito ya aprobado.</t>
  </si>
  <si>
    <t>R-11</t>
  </si>
  <si>
    <t>Lista R-09 + Matriz v0.1 R-02</t>
  </si>
  <si>
    <t>Fusionado y ampliado</t>
  </si>
  <si>
    <t>Incluye calidad, formatos heterogéneos y posible no entrega por restricciones contractuales/confidencialidad.</t>
  </si>
  <si>
    <t>ERS / Importación</t>
  </si>
  <si>
    <t>Registrar fuente y fecha.</t>
  </si>
  <si>
    <t>R-12</t>
  </si>
  <si>
    <t>Lista R-10 + parte de Matriz v0.1 R-03</t>
  </si>
  <si>
    <t>Pasa del cambio físico como hecho al riesgo operacional de no registrar cambios después de implantar.</t>
  </si>
  <si>
    <t>Usar escaneo de bajo impacto y solo sobre rangos autorizados; validar previamente en laboratorio; definir límites de concurrencia, pausado/detención y condiciones de ejecución con Redes/Ciberseguridad.</t>
  </si>
  <si>
    <t>Operación / Manuales</t>
  </si>
  <si>
    <t>Debe existir dueño del proceso.</t>
  </si>
  <si>
    <t>MAPA VISUAL DE RIESGOS · PROBABILIDAD × IMPACTO</t>
  </si>
  <si>
    <t>R-13</t>
  </si>
  <si>
    <t>Detener el escaneo, conservar resultados parciales identificados como incompletos y operar el sistema sin observabilidad hasta redefinir la configuración autorizada.</t>
  </si>
  <si>
    <t>Lista R-11 + Matriz v0.1 R-07</t>
  </si>
  <si>
    <t>Se centra en vulnerabilidad/permisos dentro de la plataforma.</t>
  </si>
  <si>
    <t>Seguridad / Pruebas</t>
  </si>
  <si>
    <t>Mantener controles por rol.</t>
  </si>
  <si>
    <t>Responsable Técnico / Contraparte Redes-Ciberseguridad</t>
  </si>
  <si>
    <t>R-14</t>
  </si>
  <si>
    <t>Lista R-12 + parte de Matriz v0.1 R-07</t>
  </si>
  <si>
    <t>Las fuentes de inventario llegan duplicadas, desactualizadas, incompletas, con formatos distintos o no se entregan por restricciones contractuales/confidencialidad.</t>
  </si>
  <si>
    <t>Separado</t>
  </si>
  <si>
    <t>Aumento anormal de tráfico, alertas de monitoreo, incidentes asociados al escaneo o solicitud de bloqueo.</t>
  </si>
  <si>
    <t>El uso de datos reales fuera del hospital requiere prevención distinta a una vulnerabilidad técnica.</t>
  </si>
  <si>
    <t>Privacidad / Evidencias</t>
  </si>
  <si>
    <t>Altos</t>
  </si>
  <si>
    <t>Usar datos sintéticos o sanitizados.</t>
  </si>
  <si>
    <t>R-15</t>
  </si>
  <si>
    <t>Lista R-13</t>
  </si>
  <si>
    <t>Incorpora cumplimiento normativo y políticas internas sin fijar una interpretación jurídica dentro de la matriz.</t>
  </si>
  <si>
    <t>Privacidad / Seguridad</t>
  </si>
  <si>
    <t>1.3 / 1.4 / 1.5</t>
  </si>
  <si>
    <t>Representación gráfica de los 27 riesgos vigentes. El eje horizontal muestra el impacto y el eje vertical la probabilidad. El color corresponde al nivel de exposición definido en la hoja Escalas.</t>
  </si>
  <si>
    <t>Requiere validación institucional competente.</t>
  </si>
  <si>
    <t>R-16</t>
  </si>
  <si>
    <t>Matriz v0.1 R-11</t>
  </si>
  <si>
    <t>Protege la regla de negocio: telemetría/reconciliación no modifica inventario automáticamente.</t>
  </si>
  <si>
    <t>ERS / Inventario</t>
  </si>
  <si>
    <t>Riesgo de integridad distinto a correlación R-05.</t>
  </si>
  <si>
    <t>IMPACTO / GRAVEDAD  →</t>
  </si>
  <si>
    <t>R-17</t>
  </si>
  <si>
    <t>Matriz v0.1 R-09</t>
  </si>
  <si>
    <t>Conserva continuidad y recuperación como riesgo propio.</t>
  </si>
  <si>
    <t>LEYENDA</t>
  </si>
  <si>
    <t>Backups / Implantación</t>
  </si>
  <si>
    <t>Exige prueba de restauración.</t>
  </si>
  <si>
    <t>R-18</t>
  </si>
  <si>
    <t>Medios</t>
  </si>
  <si>
    <t>Lista R-14 + Matriz v0.1 R-12</t>
  </si>
  <si>
    <t>Conecta disponibilidad de interesados con el bloqueo entre fases de Cascada.</t>
  </si>
  <si>
    <t>Gobernanza / Gantt</t>
  </si>
  <si>
    <t>1
Menor</t>
  </si>
  <si>
    <t>Definir escalamiento y fechas de validación.</t>
  </si>
  <si>
    <t>R-19</t>
  </si>
  <si>
    <t>2
Bajo</t>
  </si>
  <si>
    <t>3
Moderado</t>
  </si>
  <si>
    <t>4
Alto</t>
  </si>
  <si>
    <t>5
Crítico</t>
  </si>
  <si>
    <t>Lista R-15</t>
  </si>
  <si>
    <t>Agregado y desacademizado</t>
  </si>
  <si>
    <t>Se elimina referencia CAP del texto cliente y se expresa como aprobación/autoridad formal pendiente.</t>
  </si>
  <si>
    <t>Tras la implantación no se registran oportunamente traslados de equipos, cambios de responsable ni modificaciones de la estructura física.</t>
  </si>
  <si>
    <t>Gobernanza</t>
  </si>
  <si>
    <t>No presenta como aceptado lo no firmado/conformado.</t>
  </si>
  <si>
    <t>R-20</t>
  </si>
  <si>
    <t>Bajos</t>
  </si>
  <si>
    <t>Técnico / Reconciliación</t>
  </si>
  <si>
    <t>Lista R-16</t>
  </si>
  <si>
    <t>PROBABILIDAD  ↑</t>
  </si>
  <si>
    <t>Riesgo de adopción distinto a funcionalidad o seguridad.</t>
  </si>
  <si>
    <t>Implantación / Manuales</t>
  </si>
  <si>
    <t>Validar usabilidad con usuarios.</t>
  </si>
  <si>
    <t>Los datos observados en red (IP dinámica, MAC, hostname u otros) no permiten correlacionar de forma suficientemente confiable los equipos con el inventario.</t>
  </si>
  <si>
    <t>R-21</t>
  </si>
  <si>
    <t>5
Muy alta</t>
  </si>
  <si>
    <t>Lista R-17</t>
  </si>
  <si>
    <t>Aclara que SYNTRO apoya control pero no sustituye validaciones formales.</t>
  </si>
  <si>
    <t>Acta / Operación</t>
  </si>
  <si>
    <t>Usar fecha de corte y fuente.</t>
  </si>
  <si>
    <t>Los identificadores de red pueden cambiar, faltar o no coincidir con los registros patrimoniales.</t>
  </si>
  <si>
    <t>5
—</t>
  </si>
  <si>
    <t>R-22</t>
  </si>
  <si>
    <t>Lista R-18</t>
  </si>
  <si>
    <t>Cubre continuidad postproyecto y dueño institucional.</t>
  </si>
  <si>
    <t>Se generan falsos positivos/negativos y disminuye la credibilidad del contraste inventario-red.</t>
  </si>
  <si>
    <t>Implantación / Cierre</t>
  </si>
  <si>
    <t>10
—</t>
  </si>
  <si>
    <t>Debe cerrarse antes de aceptación final.</t>
  </si>
  <si>
    <t>Las contrapartes y usuarios clave no están disponibles o validan tarde, bloqueando el avance entre fases de Cascada.</t>
  </si>
  <si>
    <t>R-23</t>
  </si>
  <si>
    <t>Lista R-19 + Matriz v0.1 R-04</t>
  </si>
  <si>
    <t>Fusionado y actualizado</t>
  </si>
  <si>
    <t>Refleja el cambio ya ocurrido a PCs+impresoras y capacidades existentes fuera de alcance.</t>
  </si>
  <si>
    <t>15
—</t>
  </si>
  <si>
    <t>Acta / ERS / Control de Cambios</t>
  </si>
  <si>
    <t>R-25</t>
  </si>
  <si>
    <t>Nuevas funciones requieren cambio formal.</t>
  </si>
  <si>
    <t>La carga de documentación, desarrollo, pruebas y coordinación supera la capacidad disponible o concentra actividades críticas en una sola persona.</t>
  </si>
  <si>
    <t>R-24</t>
  </si>
  <si>
    <t>Lista R-20 + Matriz v0.1 R-13</t>
  </si>
  <si>
    <t>Ya existe Gantt; el riesgo ahora es que la línea base de fechas/costos no se apruebe o se desincronice.</t>
  </si>
  <si>
    <t>20
R-11</t>
  </si>
  <si>
    <t>Gantt / Costos</t>
  </si>
  <si>
    <t>No afirma que 'no existe Gantt'.</t>
  </si>
  <si>
    <t>Lista R-21 + Matriz v0.1 R-15</t>
  </si>
  <si>
    <t>Combina sobrecarga y dependencia de personas clave.</t>
  </si>
  <si>
    <t>RACI / Gantt</t>
  </si>
  <si>
    <t>Cantidad</t>
  </si>
  <si>
    <t>Revisión cruzada y distribución de conocimiento.</t>
  </si>
  <si>
    <t>25
—</t>
  </si>
  <si>
    <t>R-26</t>
  </si>
  <si>
    <t>Matriz v0.1 R-05</t>
  </si>
  <si>
    <t>Cambio tardío de requisitos es propio del enfoque Cascada y no equivale a retraso general.</t>
  </si>
  <si>
    <t>ERS / Control de Cambios</t>
  </si>
  <si>
    <t>Analizar impacto antes de aprobar.</t>
  </si>
  <si>
    <t>Definir jerarquía de claves de correlación; medir tasa de coincidencia; registrar el motivo de la sugerencia y mostrar la reconciliación como apoyo, no como error patrimonial.</t>
  </si>
  <si>
    <t>R-27</t>
  </si>
  <si>
    <t>4
Alta</t>
  </si>
  <si>
    <t>Lista R-22 + parte de Matriz v0.1 R-13/R-14</t>
  </si>
  <si>
    <t>Mantener el registro como no conciliado y derivarlo a revisión manual sin modificar el inventario oficial.</t>
  </si>
  <si>
    <t>4
—</t>
  </si>
  <si>
    <t>Separa calidad del cronograma: riesgo de descubrir defectos al final por ambiente/pruebas tardías.</t>
  </si>
  <si>
    <t>8
—</t>
  </si>
  <si>
    <t>Adelantar pruebas por componente.</t>
  </si>
  <si>
    <t>Responsable Técnico / Soporte TI</t>
  </si>
  <si>
    <t>12
R-05</t>
  </si>
  <si>
    <t>Caída de la tasa de coincidencia, múltiples candidatos para un activo o discrepancias recurrentes por DHCP/hostname.</t>
  </si>
  <si>
    <t>DECISIÓN / RECOMENDACIÓN · EDIFICIOS Y CONTAINERS</t>
  </si>
  <si>
    <t>16
R-01 · R-12 · R-18 · R-25</t>
  </si>
  <si>
    <t>20
R-03</t>
  </si>
  <si>
    <t>La infraestructura on-premise no se asigna a tiempo o el ambiente objetivo no es compatible con el stack y sus prerrequisitos.</t>
  </si>
  <si>
    <t>Que el hospital agregue o retire containers no debería modelarse como un riesgo de que SYNTRO 'no soporte' cambios, porque la creación/edición de edificios y dependencias es precisamente una respuesta funcional a esa realidad. El riesgo correcto es que la configuración física cambie entre el levantamiento y las pruebas/aceptación, dejando desactualizada la línea base usada para validar el sistema. Por eso R-02 exige una fecha de corte previa a UAT/pruebas finales y una revisión con Infraestructura para detectar altas, bajas o traslados. Además, este caso debería cerrar la decisión pendiente de la ERS respecto de herramientas de edición de edificios/salas/rutas: al menos crear, modificar y desactivar edificios/containers debe quedar trazable y probado.</t>
  </si>
  <si>
    <t>3
Media</t>
  </si>
  <si>
    <t>3
—</t>
  </si>
  <si>
    <t>6
—</t>
  </si>
  <si>
    <t>9
R-02 · R-09 · R-10 · R-19</t>
  </si>
  <si>
    <t>12
R-06 · R-08 · R-15 · R-20 · R-22 · R-23 · R-24 · R-26 · R-27</t>
  </si>
  <si>
    <t>15
R-04 · R-07</t>
  </si>
  <si>
    <t>2
Baja</t>
  </si>
  <si>
    <t>2
—</t>
  </si>
  <si>
    <t>8
R-21</t>
  </si>
  <si>
    <t>10
R-13 · R-14 · R-16 · R-17</t>
  </si>
  <si>
    <t>Técnico / Deuda técnica</t>
  </si>
  <si>
    <t>Los códigos R-xx corresponden a la hoja “Matriz de Riesgos”. La ubicación refleja la valoración P/I de la versión 0.3.</t>
  </si>
  <si>
    <t>El código o la base reutilizados contienen deuda técnica, dependencias obsoletas o documentación insuficiente que obligan a retrabajo.</t>
  </si>
  <si>
    <t>Parte de la solución ya existe y puede contener decisiones técnicas previas no documentadas o incompatibles con la línea base actual.</t>
  </si>
  <si>
    <t>1
Muy baja</t>
  </si>
  <si>
    <t>1
—</t>
  </si>
  <si>
    <t>Aumentan el tiempo de análisis/construcción, la probabilidad de defectos y la dependencia de conocimiento individual.</t>
  </si>
  <si>
    <t>DETALLE DE RIESGOS REPRESENTADOS</t>
  </si>
  <si>
    <t>EDT</t>
  </si>
  <si>
    <t>Realizar revisión técnica por módulo; documentar stack, dependencias y decisiones; clasificar qué se reutiliza, refactoriza o reemplaza antes de modificar componentes críticos.</t>
  </si>
  <si>
    <t>Aislar el componente afectado, priorizar corrección de deuda crítica y replanificar solo la funcionalidad dependiente.</t>
  </si>
  <si>
    <t>Responsable Técnico / Equipo SYNTRO</t>
  </si>
  <si>
    <t>Datos / Calidad y disponibilidad</t>
  </si>
  <si>
    <t>Equipo SYNTRO / Soporte TI / Contraparte de datos</t>
  </si>
  <si>
    <t>1.2 / 1.4 / 1.5</t>
  </si>
  <si>
    <t>Dependencia sin soporte, módulo que solo comprende una persona, comportamiento no documentado o fallos repetidos al modificar código legado.</t>
  </si>
  <si>
    <t>Operacional / Datos</t>
  </si>
  <si>
    <t>Responsable Operacional / Soporte TI / Infraestructura</t>
  </si>
  <si>
    <t>1.4 / 1.6</t>
  </si>
  <si>
    <t>Interesados / Cronograma</t>
  </si>
  <si>
    <t>Dirección del Proyecto</t>
  </si>
  <si>
    <t>1.1 / 1.2 / 1.3 / 1.6</t>
  </si>
  <si>
    <t>Gestión / Capacidad del equipo</t>
  </si>
  <si>
    <t>Dirección del Proyecto / Equipo SYNTRO</t>
  </si>
  <si>
    <t>Infraestructura / Despliegue</t>
  </si>
  <si>
    <t>1.3 / 1.4</t>
  </si>
  <si>
    <t>Contraparte TI / Responsable Técnico</t>
  </si>
  <si>
    <t>1.3 / 1.4 / 1.6</t>
  </si>
  <si>
    <t>La auditoría no registra información suficiente para reconstruir cambios relevantes de inventario o ubicación.</t>
  </si>
  <si>
    <t>Calidad / Auditoría</t>
  </si>
  <si>
    <t>Responsable Técnico / QA</t>
  </si>
  <si>
    <t>El tratamiento de datos o la operación técnica no se alinea con normativa aplicable, políticas internas o directrices de Ciberseguridad.</t>
  </si>
  <si>
    <t>Cumplimiento / Legal</t>
  </si>
  <si>
    <t>Dirección del Proyecto / Ciberseguridad / Contraparte institucional</t>
  </si>
  <si>
    <t>1.1 / 1.2 / 1.5 / 1.6</t>
  </si>
  <si>
    <t>Usuarios operativos perciben el registro como carga adicional o terceros interpretan SYNTRO como una herramienta de fiscalización.</t>
  </si>
  <si>
    <t>Adopción / Cambio</t>
  </si>
  <si>
    <t>Dirección del Proyecto / Contraparte funcional</t>
  </si>
  <si>
    <t>1.2 / 1.3 / 1.6</t>
  </si>
  <si>
    <t>Al cierre del proyecto no queda definido un responsable institucional de mantenimiento, soporte, actualización de datos y administración.</t>
  </si>
  <si>
    <t>Continuidad / Operación</t>
  </si>
  <si>
    <t>Patrocinador funcional / Dirección del Proyecto</t>
  </si>
  <si>
    <t>1.6</t>
  </si>
  <si>
    <t>El alcance crece hacia nuevas categorías de activos, formularios/PDF, integraciones, monitoreo u otras funciones existentes pero no comprometidas.</t>
  </si>
  <si>
    <t>Alcance / Gestión de cambios</t>
  </si>
  <si>
    <t>Evitar / Mitigar</t>
  </si>
  <si>
    <t>1.1 / 1.2</t>
  </si>
  <si>
    <t>La Carta Gantt o la estimación de costos no están formalmente aprobadas como línea base o dejan de mantenerse sincronizadas con la EDT y los cambios.</t>
  </si>
  <si>
    <t>Gestión / Cronograma y costos</t>
  </si>
  <si>
    <t>1.1</t>
  </si>
  <si>
    <t>Cambios tardíos de requisitos provocan retrabajo significativo por la secuencia de la metodología Cascada.</t>
  </si>
  <si>
    <t>Requisitos / Cascada</t>
  </si>
  <si>
    <t>Las pruebas críticas se ejecutan demasiado tarde o en un entorno que no representa las condiciones reales del hospital.</t>
  </si>
  <si>
    <t>Pruebas / Calidad</t>
  </si>
  <si>
    <t>Responsable Técnico / QA / Dirección del Proyecto</t>
  </si>
  <si>
    <t>1.5 / 1.6</t>
  </si>
  <si>
    <t>Una vulnerabilidad, endpoint expuesto o permiso mal configurado permite acceder a información técnica o personal fuera del rol autorizado.</t>
  </si>
  <si>
    <t>Seguridad / Privacidad</t>
  </si>
  <si>
    <t>Responsable Técnico / Ciberseguridad</t>
  </si>
  <si>
    <t>Datos reales del hospital se copian a equipos personales, repositorios, capturas, presentaciones o ambientes externos no autorizados.</t>
  </si>
  <si>
    <t>Seguridad / Uso de datos</t>
  </si>
  <si>
    <t>Evitar</t>
  </si>
  <si>
    <t>1.1 / 1.4 / 1.5</t>
  </si>
  <si>
    <t>El despliegue depende de servidor/VM, sistema operativo, almacenamiento, red, respaldo, versiones y permisos institucionales.</t>
  </si>
  <si>
    <t>La telemetría o la reconciliación termina modificando el inventario oficial sin validación humana.</t>
  </si>
  <si>
    <t>Datos / Integridad</t>
  </si>
  <si>
    <t>Responsable Técnico / Administrador SYNTRO</t>
  </si>
  <si>
    <t>Los respaldos no se generan correctamente o la restauración falla cuando se necesita.</t>
  </si>
  <si>
    <t>Continuidad / Datos</t>
  </si>
  <si>
    <t>La implantación puede retrasarse o requerir ajustes tardíos del diseño técnico.</t>
  </si>
  <si>
    <t>1.4 / 1.5 / 1.6</t>
  </si>
  <si>
    <t>El rendimiento no se valida con un volumen representativo de activos, ubicaciones, búsquedas y auditoría acumulada.</t>
  </si>
  <si>
    <t>Rendimiento / Usabilidad</t>
  </si>
  <si>
    <t>1.4 / 1.5</t>
  </si>
  <si>
    <t>El mecanismo de autenticación institucional requerido no está definido o no puede integrarse con la solución (por ejemplo AD/LDAP/SSO si la institución lo exige).</t>
  </si>
  <si>
    <t>Seguridad / Autenticación</t>
  </si>
  <si>
    <t>Aprobaciones formales, firmas o designaciones nominales de contrapartes permanecen pendientes cuando se necesita cerrar una línea base o aceptar un entregable.</t>
  </si>
  <si>
    <t>Gobernanza / Aprobaciones</t>
  </si>
  <si>
    <t>1.1 / 1.6</t>
  </si>
  <si>
    <t>El inventario de SYNTRO se utiliza como evidencia oficial, contractual o de auditoría sin un proceso de validación y fecha de corte.</t>
  </si>
  <si>
    <t>Gobernanza / Uso de información</t>
  </si>
  <si>
    <t>Patrocinador funcional / Responsable Operacional</t>
  </si>
  <si>
    <t>1.1 / 1.4 / 1.6</t>
  </si>
  <si>
    <t>Emitir prerrequisitos de infraestructura desde diseño; validar versiones y recursos con anticipación; mantener procedimiento de instalación reproducible y configuración documentada.</t>
  </si>
  <si>
    <t>Utilizar entorno temporal controlado para validación/demostración y reprogramar la implantación institucional hasta resolver incompatibilidades.</t>
  </si>
  <si>
    <t>Servidor/VM no asignado, recursos insuficientes, librería no soportada o instalación que requiere permisos/versiones no disponibles.</t>
  </si>
  <si>
    <t>El MVP utiliza los registros de auditoría como mecanismo principal de historial, sin exigir una entidad independiente de movimientos.</t>
  </si>
  <si>
    <t>No es posible demostrar quién cambió qué, cuándo, desde qué valor y hacia cuál, debilitando trazabilidad y criterios de éxito.</t>
  </si>
  <si>
    <t>Definir eventos y campos auditables mínimos; registrar actor, fecha, acción, entidad y valores relevantes; proteger los logs e incluir una prueba de reconstrucción de historial.</t>
  </si>
  <si>
    <t>Corregir la cobertura de auditoría y reconstruir información desde fuentes auxiliares cuando sea posible.</t>
  </si>
  <si>
    <t>Cambio relevante sin registro, log sin actor/fecha/valores o imposibilidad de reconstruir una secuencia de ubicación.</t>
  </si>
  <si>
    <t>El entorno de desarrollo puede manejar menos datos que la operación prevista (aprox. 3.000 computadores e impresoras).</t>
  </si>
  <si>
    <t>Mapa, dashboard y búsquedas pueden presentar lentitud o degradación al implantarse.</t>
  </si>
  <si>
    <t>Generar datos sintéticos/anonimizados a escala; fijar umbrales de respuesta; probar consultas, filtros, mapa y crecimiento de auditoría antes de aceptación.</t>
  </si>
  <si>
    <t>Optimizar consultas/índices, paginar/cargar de forma diferida y repetir las pruebas de rendimiento afectadas.</t>
  </si>
  <si>
    <t>Tiempos de respuesta sobre umbral, carga incompleta del mapa o degradación al aumentar el volumen.</t>
  </si>
  <si>
    <t>Las políticas institucionales pueden exigir un esquema distinto a las cuentas locales previstas.</t>
  </si>
  <si>
    <t>Se generan cuentas paralelas, administración manual o retrasos de seguridad antes del despliegue.</t>
  </si>
  <si>
    <t>Confirmar tempranamente con Ciberseguridad/Infraestructura el mecanismo requerido; documentar el modelo de identidad y mantener autenticación local solo como alternativa si es formalmente aceptada.</t>
  </si>
  <si>
    <t>Mantener acceso local restringido en ambiente controlado hasta disponer del mecanismo institucional aprobado.</t>
  </si>
  <si>
    <t>Requisito institucional de SSO/directorio aparece después del diseño o el ambiente no permite la integración prevista.</t>
  </si>
  <si>
    <t>La información puede provenir de planillas y distintos proveedores o responsables con criterios no homogéneos.</t>
  </si>
  <si>
    <t>La carga inicial no representa con suficiente confianza los activos y ubicaciones que el sistema debe gestionar.</t>
  </si>
  <si>
    <t>Perfilar, limpiar y validar las fuentes; registrar origen/fecha; acordar muestreo con contraparte; definir campos mínimos aceptables y contabilizar registros omitidos/rechazados.</t>
  </si>
  <si>
    <t>Cargar solo el subconjunto validado, documentar brechas y completar/corregir datos mediante revisión con Soporte TI y responsables de la fuente.</t>
  </si>
  <si>
    <t>Alta tasa de duplicados/rechazos, campos críticos vacíos, inconsistencias entre proveedores o fuente que no puede ser entregada.</t>
  </si>
  <si>
    <t>El proceso operativo puede seguir dependiendo de registros paralelos o conocimiento informal de Soporte e Infraestructura.</t>
  </si>
  <si>
    <t>El inventario y el mapa vuelven a desactualizarse aunque la plataforma funcione correctamente.</t>
  </si>
  <si>
    <t>Incorporar la actualización de SYNTRO en los flujos operativos; asignar responsables por tipo de cambio; simplificar la edición y revisar periódicamente registros sin actualización.</t>
  </si>
  <si>
    <t>Realizar conciliación extraordinaria con inventario/fuentes operativas y corregir por lotes los registros desactualizados.</t>
  </si>
  <si>
    <t>Diferencias entre terreno y sistema, activos con ubicación obsoleta o cambios físicos conocidos que no aparecen registrados.</t>
  </si>
  <si>
    <t>La plataforma centraliza ubicaciones, responsables, IP, MAC, hostname y otros datos útiles para soporte.</t>
  </si>
  <si>
    <t>Puede producirse exposición de información sensible y aumentar el riesgo de abuso o ataque.</t>
  </si>
  <si>
    <t>Aplicar mínimo privilegio, RBAC, revisión de endpoints, cifrado en tránsito, controles de sesión y pruebas de seguridad/OWASP antes de implantación.</t>
  </si>
  <si>
    <t>Restringir o deshabilitar el acceso afectado, revisar logs, corregir permisos/vulnerabilidad y validar nuevamente antes de reabrir.</t>
  </si>
  <si>
    <t>Usuario accede a datos fuera de su rol, endpoint anónimo devuelve detalle o prueba de autorización falla.</t>
  </si>
  <si>
    <t>El equipo necesita demostrar y probar el sistema fuera del entorno institucional.</t>
  </si>
  <si>
    <t>Puede producirse una fuga de información y un incumplimiento de las condiciones de uso de datos.</t>
  </si>
  <si>
    <t>Usar datos sintéticos o sanitizados fuera del hospital; excluir datos reales de repositorios y evidencias públicas; aplicar checklist previo a cada demostración/entrega.</t>
  </si>
  <si>
    <t>Retirar inmediatamente la evidencia o copia, informar por el canal definido y revisar alcance de la exposición antes de continuar.</t>
  </si>
  <si>
    <t>Archivo real detectado fuera del entorno autorizado, captura con datos identificables o commit con información institucional.</t>
  </si>
  <si>
    <t>SYNTRO trata datos de responsables e identificadores técnicos y opera sobre infraestructura institucional.</t>
  </si>
  <si>
    <t>Puede requerirse rediseño, restricción de funcionalidades o suspensión de actividades hasta regularizar el cumplimiento.</t>
  </si>
  <si>
    <t>Mantener inventario de datos/tratamientos, revisar privacidad y seguridad con las contrapartes competentes y confirmar qué información es necesaria para cada rol y evidencia.</t>
  </si>
  <si>
    <t>Suspender el tratamiento/función cuestionada, minimizar o anonimizar datos y aplicar las medidas indicadas por la autoridad institucional competente.</t>
  </si>
  <si>
    <t>Observación formal sobre privacidad/ciberseguridad, requisito de política no contemplado o dato sin finalidad/permiso claro.</t>
  </si>
  <si>
    <t>Los datos observados pueden diferir del registro patrimonial y generar sugerencias de corrección.</t>
  </si>
  <si>
    <t>Una coincidencia errónea puede alterar ubicación, identidad o información oficial del activo.</t>
  </si>
  <si>
    <t>Mantener separación explícita entre dato observado y dato oficial; la reconciliación solo propone; exigir acción de Administrador y auditar todo cambio definitivo.</t>
  </si>
  <si>
    <t>Revertir el cambio utilizando auditoría/backup y restaurar el valor oficial validado.</t>
  </si>
  <si>
    <t>Proceso de red escribe sobre inventario o una sugerencia se aplica sin confirmación autorizada.</t>
  </si>
  <si>
    <t>La solución depende de inventario, configuración y trazabilidad persistente para continuar operando.</t>
  </si>
  <si>
    <t>Se pueden perder datos o aumentar significativamente los tiempos de recuperación.</t>
  </si>
  <si>
    <t>Definir periodicidad y contenido de respaldo; validar la funcionalidad de backup y ejecutar al menos una restauración de prueba con evidencia.</t>
  </si>
  <si>
    <t>Restaurar desde el último respaldo validado y reconstruir cambios posteriores desde fuentes y auditoría disponibles.</t>
  </si>
  <si>
    <t>Backup faltante/corrupto, prueba de restauración fallida o ausencia de evidencia de recuperación.</t>
  </si>
  <si>
    <t>Requisitos, seguridad, datos, infraestructura y aceptación necesitan revisión de distintas áreas institucionales.</t>
  </si>
  <si>
    <t>Se desplazan hitos y aumenta el retrabajo si la validación ocurre después de iniciar la fase siguiente.</t>
  </si>
  <si>
    <t>Calendarizar validaciones por hito; enviar material previo; definir plazos de respuesta y mecanismo de escalamiento; registrar decisiones pendientes.</t>
  </si>
  <si>
    <t>Escalar al patrocinador correspondiente y continuar solo trabajo no dependiente hasta recibir la decisión.</t>
  </si>
  <si>
    <t>Reunión cancelada, entregable sin revisor o decisión pendiente más allá del plazo acordado.</t>
  </si>
  <si>
    <t>Algunas responsabilidades pueden estar definidas por cargo mientras la formalización documental aún no se completa.</t>
  </si>
  <si>
    <t>Puede quedar ambigua la autoridad para aprobar alcance, cambios, datos o cierre.</t>
  </si>
  <si>
    <t>Mantener matriz RACI/gobernanza por cargo; registrar quién tiene autoridad de aprobación y cerrar la forma de conformidad antes de los hitos que la requieren.</t>
  </si>
  <si>
    <t>Escalar al patrocinio institucional/funcional y dejar el entregable en estado pendiente de aprobación, sin presentarlo como aceptado.</t>
  </si>
  <si>
    <t>Documento listo sin aprobador confirmado, firma/conformidad pendiente o decisión sin autoridad identificada.</t>
  </si>
  <si>
    <t>La solución introduce nuevos hábitos de registro y hace visibles inconsistencias entre fuentes y realidad.</t>
  </si>
  <si>
    <t>Puede disminuir la adopción, omitirse información o generarse resistencia a colaborar con el proyecto.</t>
  </si>
  <si>
    <t>Involucrar a usuarios en mockups/pruebas; simplificar flujos; comunicar finalidad de apoyo, trazabilidad y soporte; capacitar antes de implantación.</t>
  </si>
  <si>
    <t>Ajustar el flujo que genera fricción, reforzar acompañamiento y acordar controles operativos con la jefatura responsable.</t>
  </si>
  <si>
    <t>Usuarios evitan registrar cambios, comentarios reiterados de carga adicional o negativa a entregar/validar información.</t>
  </si>
  <si>
    <t>La plataforma centraliza información útil para control, pero no sustituye los procesos formales de inventario, contratos ni auditoría.</t>
  </si>
  <si>
    <t>Se puede atribuir al sistema un nivel de autoridad que no corresponde y tomar decisiones sobre datos no validados.</t>
  </si>
  <si>
    <t>Mostrar fecha/fuente de actualización; documentar el carácter de apoyo/consulta; exigir validación institucional antes de usar información como evidencia formal.</t>
  </si>
  <si>
    <t>Emitir advertencia de validez, congelar el corte utilizado y someter el conjunto de datos a revisión antes de su uso formal.</t>
  </si>
  <si>
    <t>Solicitud de usar exportación como evidencia definitiva sin revisión o sin fecha de validación.</t>
  </si>
  <si>
    <t>La continuidad depende de que funciones operativas y técnicas sean asumidas después del traspaso.</t>
  </si>
  <si>
    <t>El sistema puede quedar sin mantenimiento, perder vigencia de datos o no recuperarse ante fallas.</t>
  </si>
  <si>
    <t>Definir responsables operacionales y técnicos antes del cierre; completar manuales, traspaso, respaldos y procedimientos de soporte/mantenimiento.</t>
  </si>
  <si>
    <t>Mantener soporte transitorio acordado y escalar al patrocinio hasta que se asigne formalmente la continuidad.</t>
  </si>
  <si>
    <t>Cierre próximo sin administrador/soporte designado o manuales/procedimientos sin receptor.</t>
  </si>
  <si>
    <t>El producto contiene o sugiere capacidades relacionadas que pueden solicitarse como si ya fueran parte de la línea base.</t>
  </si>
  <si>
    <t>Aumentan esfuerzo, complejidad y plazo, reduciendo foco en los entregables comprometidos.</t>
  </si>
  <si>
    <t>Mantener línea base explícita de PCs e impresoras; registrar capacidades existentes fuera de alcance; exigir análisis y aprobación mediante control de cambios.</t>
  </si>
  <si>
    <t>Mover solicitudes no aprobadas a evolución posterior y replanificar solo cuando exista cambio formal aceptado.</t>
  </si>
  <si>
    <t>Solicitud de nueva categoría/función sin cambio aprobado o tarea incorporada fuera de ERS/EDT.</t>
  </si>
  <si>
    <t>El proyecto cuenta con planificación, pero fechas y presupuesto requieren cierre, validación y actualización cuando cambian dependencias o alcance.</t>
  </si>
  <si>
    <t>Se dificulta medir desviaciones reales de plazo/costo y justificar reprogramaciones.</t>
  </si>
  <si>
    <t>Cerrar y versionar la línea base de cronograma/costos; vincular hitos a EDT; actualizarla solo mediante control de cambios y registrar desviaciones.</t>
  </si>
  <si>
    <t>Reestimar el tramo afectado, formalizar nueva línea base aprobada y conservar la anterior como referencia histórica.</t>
  </si>
  <si>
    <t>Hito sin fecha aprobada, costos sin estimación vigente o Gantt que no refleja un cambio ya aceptado.</t>
  </si>
  <si>
    <t>El equipo ejecutor es reducido y debe producir múltiples entregables además de implementar y validar la solución.</t>
  </si>
  <si>
    <t>Se acumulan atrasos, disminuye la calidad o una ausencia bloquea tareas clave.</t>
  </si>
  <si>
    <t>Priorizar entregables críticos; usar RACI; repartir conocimiento y revisión cruzada; mantener código/documentación reproducibles y revisar capacidad por hito.</t>
  </si>
  <si>
    <t>Redistribuir trabajo, reducir trabajo no crítico y replanificar formalmente los hitos afectados.</t>
  </si>
  <si>
    <t>Sobrecarga sostenida, tarea crítica con único conocedor, atrasos simultáneos o ausencia que detiene un componente.</t>
  </si>
  <si>
    <t>Diseño, construcción, pruebas y documentación dependen de una línea base de requisitos suficientemente estable.</t>
  </si>
  <si>
    <t>Un cambio aprobado tarde puede obligar a modificar varios entregables ya avanzados.</t>
  </si>
  <si>
    <t>Validar y cerrar ERS por fase; mantener trazabilidad requisito-diseño-prueba; exigir análisis de impacto y control de cambios para modificaciones posteriores.</t>
  </si>
  <si>
    <t>Replanificar los entregables afectados y repetir solo las validaciones necesarias para el requisito modificado.</t>
  </si>
  <si>
    <t>Requisito cambia después de iniciar diseño/construcción o aparecen decisiones funcionales sin cerrar en fases posteriores.</t>
  </si>
  <si>
    <t>Cascada concentra la validación formal después de construcción y el ambiente institucional puede no estar disponible desde el inicio.</t>
  </si>
  <si>
    <t>Defectos de integración, seguridad, rendimiento o despliegue pueden aparecer cerca del cierre con poco margen de corrección.</t>
  </si>
  <si>
    <t>Mantener Plan de Pruebas Inicial; adelantar revisiones técnicas y pruebas por componente; usar datos/volumen representativos y preparar un ambiente de prueba lo más cercano posible al objetivo.</t>
  </si>
  <si>
    <t>Priorizar defectos críticos, repetir los casos afectados en ambiente representativo y formalizar pendientes no críticos antes de aceptación.</t>
  </si>
  <si>
    <t>Ambiente final disponible recién al cierre, casos críticos sin ejecutar o defectos sistémicos descubiertos en pruebas finales.</t>
  </si>
</sst>
</file>

<file path=xl/styles.xml><?xml version="1.0" encoding="utf-8"?>
<styleSheet xmlns="http://schemas.openxmlformats.org/spreadsheetml/2006/main" xmlns:x14ac="http://schemas.microsoft.com/office/spreadsheetml/2009/9/ac" xmlns:mc="http://schemas.openxmlformats.org/markup-compatibility/2006">
  <fonts count="35">
    <font>
      <sz val="11.0"/>
      <color rgb="FF000000"/>
      <name val="Carlito"/>
      <scheme val="minor"/>
    </font>
    <font>
      <b/>
      <sz val="16.0"/>
      <color rgb="FFFFFFFF"/>
      <name val="Arial"/>
    </font>
    <font>
      <b/>
      <sz val="14.0"/>
      <color rgb="FF17365D"/>
      <name val="Arial"/>
    </font>
    <font>
      <i/>
      <sz val="10.0"/>
      <color rgb="FF475569"/>
      <name val="Arial"/>
    </font>
    <font>
      <b/>
      <sz val="10.0"/>
      <color rgb="FFFFFFFF"/>
      <name val="Arial"/>
    </font>
    <font>
      <b/>
      <sz val="10.0"/>
      <color rgb="FF17365D"/>
      <name val="Arial"/>
    </font>
    <font>
      <sz val="10.0"/>
      <color rgb="FF1F2937"/>
      <name val="Arial"/>
    </font>
    <font>
      <b/>
      <sz val="14.0"/>
      <color rgb="FFFFFFFF"/>
      <name val="Carlito"/>
    </font>
    <font>
      <b/>
      <sz val="11.0"/>
      <color rgb="FFFFFFFF"/>
      <name val="Carlito"/>
    </font>
    <font>
      <sz val="10.0"/>
      <color rgb="FF334155"/>
      <name val="Arial"/>
    </font>
    <font>
      <sz val="11.0"/>
      <color theme="1"/>
      <name val="Carlito"/>
    </font>
    <font>
      <b/>
      <sz val="11.0"/>
      <color rgb="FFFFFFFF"/>
      <name val="Arial"/>
    </font>
    <font>
      <b/>
      <sz val="9.0"/>
      <color rgb="FFFFFFFF"/>
      <name val="Arial"/>
    </font>
    <font>
      <sz val="9.0"/>
      <color rgb="FF1F2937"/>
      <name val="Arial"/>
    </font>
    <font>
      <b/>
      <sz val="11.0"/>
      <color rgb="FF17365D"/>
      <name val="Arial"/>
    </font>
    <font>
      <i/>
      <sz val="9.0"/>
      <color rgb="FF1F2937"/>
      <name val="Arial"/>
    </font>
    <font>
      <i/>
      <sz val="10.0"/>
      <color rgb="FF1F2937"/>
      <name val="Arial"/>
    </font>
    <font>
      <i/>
      <sz val="9.0"/>
      <color rgb="FF64748B"/>
      <name val="Arial"/>
    </font>
    <font>
      <b/>
      <sz val="9.0"/>
      <color rgb="FF17365D"/>
      <name val="Arial"/>
    </font>
    <font>
      <sz val="9.0"/>
      <color theme="1"/>
      <name val="Arial"/>
    </font>
    <font>
      <sz val="9.0"/>
      <color rgb="FF000000"/>
      <name val="Arial"/>
    </font>
    <font>
      <b/>
      <sz val="14.0"/>
      <color rgb="FFFFFFFF"/>
      <name val="Arial"/>
    </font>
    <font>
      <b/>
      <sz val="9.0"/>
      <color rgb="FFFFFFFF"/>
      <name val="Carlito"/>
    </font>
    <font>
      <b/>
      <sz val="15.0"/>
      <color rgb="FFFFFFFF"/>
      <name val="Arial"/>
    </font>
    <font>
      <color theme="1"/>
      <name val="Carlito"/>
    </font>
    <font>
      <b/>
      <sz val="9.0"/>
      <color rgb="FF1F2937"/>
      <name val="Arial"/>
    </font>
    <font>
      <color theme="1"/>
      <name val="Carlito"/>
      <scheme val="minor"/>
    </font>
    <font>
      <b/>
      <color rgb="FFFFFFFF"/>
      <name val="Carlito"/>
    </font>
    <font>
      <b/>
      <sz val="11.0"/>
      <color rgb="FF274E13"/>
      <name val="Arial"/>
    </font>
    <font>
      <sz val="11.0"/>
      <color rgb="FF000000"/>
      <name val="Carlito"/>
    </font>
    <font>
      <b/>
      <sz val="8.0"/>
      <color rgb="FF1F2937"/>
      <name val="Arial"/>
    </font>
    <font>
      <i/>
      <sz val="9.0"/>
      <color rgb="FF475569"/>
      <name val="Arial"/>
    </font>
    <font/>
    <font>
      <b/>
      <sz val="8.0"/>
      <color rgb="FF17365D"/>
      <name val="Arial"/>
    </font>
    <font>
      <sz val="8.0"/>
      <color rgb="FF1F2937"/>
      <name val="Arial"/>
    </font>
  </fonts>
  <fills count="13">
    <fill>
      <patternFill patternType="none"/>
    </fill>
    <fill>
      <patternFill patternType="lightGray"/>
    </fill>
    <fill>
      <patternFill patternType="solid">
        <fgColor rgb="FF17365D"/>
        <bgColor rgb="FF17365D"/>
      </patternFill>
    </fill>
    <fill>
      <patternFill patternType="solid">
        <fgColor rgb="FFD9EAF7"/>
        <bgColor rgb="FFD9EAF7"/>
      </patternFill>
    </fill>
    <fill>
      <patternFill patternType="solid">
        <fgColor rgb="FF244A73"/>
        <bgColor rgb="FF244A73"/>
      </patternFill>
    </fill>
    <fill>
      <patternFill patternType="solid">
        <fgColor rgb="FFEEF4FA"/>
        <bgColor rgb="FFEEF4FA"/>
      </patternFill>
    </fill>
    <fill>
      <patternFill patternType="solid">
        <fgColor rgb="FFF8FAFC"/>
        <bgColor rgb="FFF8FAFC"/>
      </patternFill>
    </fill>
    <fill>
      <patternFill patternType="solid">
        <fgColor rgb="FFA9D6BD"/>
        <bgColor rgb="FFA9D6BD"/>
      </patternFill>
    </fill>
    <fill>
      <patternFill patternType="solid">
        <fgColor rgb="FFF6D486"/>
        <bgColor rgb="FFF6D486"/>
      </patternFill>
    </fill>
    <fill>
      <patternFill patternType="solid">
        <fgColor rgb="FFF4AE72"/>
        <bgColor rgb="FFF4AE72"/>
      </patternFill>
    </fill>
    <fill>
      <patternFill patternType="solid">
        <fgColor rgb="FFEE8C73"/>
        <bgColor rgb="FFEE8C73"/>
      </patternFill>
    </fill>
    <fill>
      <patternFill patternType="solid">
        <fgColor rgb="FFD9EAD3"/>
        <bgColor rgb="FFD9EAD3"/>
      </patternFill>
    </fill>
    <fill>
      <patternFill patternType="solid">
        <fgColor rgb="FFF6FBF3"/>
        <bgColor rgb="FFF6FBF3"/>
      </patternFill>
    </fill>
  </fills>
  <borders count="10">
    <border/>
    <border>
      <left/>
      <top/>
      <bottom/>
    </border>
    <border>
      <left/>
      <right/>
      <top/>
      <bottom/>
    </border>
    <border>
      <right/>
      <top/>
      <bottom/>
    </border>
    <border>
      <left/>
      <top/>
    </border>
    <border>
      <right/>
      <top/>
    </border>
    <border>
      <left/>
    </border>
    <border>
      <right/>
    </border>
    <border>
      <left/>
      <bottom/>
    </border>
    <border>
      <right/>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3" fontId="2" numFmtId="0" xfId="0" applyAlignment="1" applyFill="1" applyFont="1">
      <alignment horizontal="center" vertical="center"/>
    </xf>
    <xf borderId="0" fillId="0" fontId="3" numFmtId="0" xfId="0" applyAlignment="1" applyFont="1">
      <alignment horizontal="center" vertical="center"/>
    </xf>
    <xf borderId="0" fillId="4" fontId="4" numFmtId="0" xfId="0" applyAlignment="1" applyFill="1" applyFont="1">
      <alignment horizontal="center" vertical="center"/>
    </xf>
    <xf borderId="0" fillId="5" fontId="5" numFmtId="0" xfId="0" applyAlignment="1" applyFill="1" applyFont="1">
      <alignment shrinkToFit="0" vertical="center" wrapText="1"/>
    </xf>
    <xf borderId="0" fillId="0" fontId="6" numFmtId="0" xfId="0" applyAlignment="1" applyFont="1">
      <alignment shrinkToFit="0" vertical="center" wrapText="1"/>
    </xf>
    <xf borderId="0" fillId="2" fontId="7" numFmtId="0" xfId="0" applyAlignment="1" applyFill="1" applyFont="1">
      <alignment horizontal="center"/>
    </xf>
    <xf borderId="0" fillId="3" fontId="5" numFmtId="0" xfId="0" applyAlignment="1" applyFill="1" applyFont="1">
      <alignment horizontal="left" vertical="center"/>
    </xf>
    <xf borderId="0" fillId="4" fontId="8" numFmtId="0" xfId="0" applyAlignment="1" applyFill="1" applyFont="1">
      <alignment horizontal="center" shrinkToFit="0" wrapText="1"/>
    </xf>
    <xf borderId="0" fillId="0" fontId="9" numFmtId="0" xfId="0" applyAlignment="1" applyFont="1">
      <alignment shrinkToFit="0" vertical="center" wrapText="1"/>
    </xf>
    <xf borderId="0" fillId="0" fontId="10" numFmtId="0" xfId="0" applyAlignment="1" applyFont="1">
      <alignment shrinkToFit="0" wrapText="1"/>
    </xf>
    <xf borderId="0" fillId="2" fontId="11" numFmtId="0" xfId="0" applyAlignment="1" applyFill="1" applyFont="1">
      <alignment horizontal="left" vertical="center"/>
    </xf>
    <xf borderId="0" fillId="4" fontId="12" numFmtId="0" xfId="0" applyAlignment="1" applyFill="1" applyFont="1">
      <alignment horizontal="center" shrinkToFit="0" vertical="center" wrapText="1"/>
    </xf>
    <xf borderId="0" fillId="4" fontId="8" numFmtId="0" xfId="0" applyAlignment="1" applyFill="1" applyFont="1">
      <alignment horizontal="center"/>
    </xf>
    <xf borderId="0" fillId="0" fontId="13" numFmtId="0" xfId="0" applyAlignment="1" applyFont="1">
      <alignment horizontal="left" shrinkToFit="0" vertical="center" wrapText="1"/>
    </xf>
    <xf borderId="0" fillId="3" fontId="14" numFmtId="0" xfId="0" applyAlignment="1" applyFill="1" applyFont="1">
      <alignment shrinkToFit="0" vertical="bottom" wrapText="0"/>
    </xf>
    <xf borderId="0" fillId="0" fontId="13" numFmtId="0" xfId="0" applyAlignment="1" applyFont="1">
      <alignment shrinkToFit="0" vertical="center" wrapText="1"/>
    </xf>
    <xf borderId="1" fillId="6" fontId="15" numFmtId="0" xfId="0" applyAlignment="1" applyBorder="1" applyFill="1" applyFont="1">
      <alignment shrinkToFit="0" vertical="center" wrapText="1"/>
    </xf>
    <xf borderId="0" fillId="3" fontId="16" numFmtId="0" xfId="0" applyAlignment="1" applyFill="1" applyFont="1">
      <alignment horizontal="left" shrinkToFit="0" vertical="center" wrapText="1"/>
    </xf>
    <xf borderId="0" fillId="6" fontId="17" numFmtId="0" xfId="0" applyAlignment="1" applyFill="1" applyFont="1">
      <alignment shrinkToFit="0" vertical="center" wrapText="1"/>
    </xf>
    <xf borderId="0" fillId="4" fontId="12" numFmtId="0" xfId="0" applyAlignment="1" applyFill="1" applyFont="1">
      <alignment horizontal="center" readingOrder="0" shrinkToFit="0" vertical="center" wrapText="1"/>
    </xf>
    <xf borderId="0" fillId="0" fontId="18" numFmtId="0" xfId="0" applyAlignment="1" applyFont="1">
      <alignment shrinkToFit="0" vertical="top" wrapText="1"/>
    </xf>
    <xf borderId="0" fillId="0" fontId="13" numFmtId="0" xfId="0" applyAlignment="1" applyFont="1">
      <alignment shrinkToFit="0" vertical="top" wrapText="1"/>
    </xf>
    <xf borderId="0" fillId="0" fontId="13" numFmtId="0" xfId="0" applyAlignment="1" applyFont="1">
      <alignment horizontal="center" shrinkToFit="0" vertical="top" wrapText="1"/>
    </xf>
    <xf borderId="0" fillId="4" fontId="8" numFmtId="0" xfId="0" applyFill="1" applyFont="1"/>
    <xf borderId="0" fillId="0" fontId="19" numFmtId="0" xfId="0" applyAlignment="1" applyFont="1">
      <alignment shrinkToFit="0" vertical="top" wrapText="1"/>
    </xf>
    <xf borderId="0" fillId="0" fontId="20" numFmtId="0" xfId="0" applyAlignment="1" applyFont="1">
      <alignment shrinkToFit="0" vertical="top" wrapText="1"/>
    </xf>
    <xf borderId="0" fillId="0" fontId="13" numFmtId="0" xfId="0" applyAlignment="1" applyFont="1">
      <alignment shrinkToFit="0" vertical="top" wrapText="1"/>
    </xf>
    <xf borderId="0" fillId="2" fontId="21" numFmtId="0" xfId="0" applyAlignment="1" applyFill="1" applyFont="1">
      <alignment horizontal="center" shrinkToFit="0" vertical="bottom" wrapText="0"/>
    </xf>
    <xf borderId="0" fillId="6" fontId="9" numFmtId="0" xfId="0" applyAlignment="1" applyFill="1" applyFont="1">
      <alignment shrinkToFit="0" vertical="center" wrapText="1"/>
    </xf>
    <xf borderId="0" fillId="4" fontId="22" numFmtId="0" xfId="0" applyAlignment="1" applyFill="1" applyFont="1">
      <alignment horizontal="center" shrinkToFit="0" vertical="bottom" wrapText="1"/>
    </xf>
    <xf borderId="0" fillId="0" fontId="18" numFmtId="0" xfId="0" applyAlignment="1" applyFont="1">
      <alignment shrinkToFit="0" vertical="top" wrapText="1"/>
    </xf>
    <xf borderId="0" fillId="2" fontId="23" numFmtId="0" xfId="0" applyAlignment="1" applyFill="1" applyFont="1">
      <alignment horizontal="center"/>
    </xf>
    <xf borderId="0" fillId="0" fontId="24" numFmtId="0" xfId="0" applyFont="1"/>
    <xf borderId="0" fillId="2" fontId="23" numFmtId="0" xfId="0" applyAlignment="1" applyFill="1" applyFont="1">
      <alignment horizontal="center" shrinkToFit="0" vertical="center" wrapText="0"/>
    </xf>
    <xf borderId="0" fillId="3" fontId="15" numFmtId="0" xfId="0" applyAlignment="1" applyFill="1" applyFont="1">
      <alignment shrinkToFit="0" vertical="center" wrapText="1"/>
    </xf>
    <xf borderId="0" fillId="0" fontId="14" numFmtId="0" xfId="0" applyAlignment="1" applyFont="1">
      <alignment horizontal="center" shrinkToFit="0" vertical="center" wrapText="0"/>
    </xf>
    <xf borderId="0" fillId="4" fontId="4" numFmtId="0" xfId="0" applyAlignment="1" applyFill="1" applyFont="1">
      <alignment horizontal="center" shrinkToFit="0" vertical="bottom" wrapText="0"/>
    </xf>
    <xf borderId="2" fillId="5" fontId="18" numFmtId="0" xfId="0" applyAlignment="1" applyBorder="1" applyFill="1" applyFont="1">
      <alignment horizontal="center" shrinkToFit="0" vertical="center" wrapText="1"/>
    </xf>
    <xf borderId="1" fillId="7" fontId="25" numFmtId="0" xfId="0" applyAlignment="1" applyBorder="1" applyFill="1" applyFont="1">
      <alignment horizontal="center" shrinkToFit="0" vertical="center" wrapText="0"/>
    </xf>
    <xf borderId="3" fillId="7" fontId="25" numFmtId="0" xfId="0" applyAlignment="1" applyBorder="1" applyFill="1" applyFont="1">
      <alignment horizontal="center" shrinkToFit="0" vertical="center" wrapText="0"/>
    </xf>
    <xf borderId="0" fillId="0" fontId="26" numFmtId="0" xfId="0" applyFont="1"/>
    <xf borderId="0" fillId="0" fontId="14" numFmtId="0" xfId="0" applyAlignment="1" applyFont="1">
      <alignment horizontal="center" shrinkToFit="0" vertical="center" wrapText="1"/>
    </xf>
    <xf borderId="2" fillId="6" fontId="18" numFmtId="0" xfId="0" applyAlignment="1" applyBorder="1" applyFill="1" applyFont="1">
      <alignment horizontal="center" shrinkToFit="0" vertical="center" wrapText="1"/>
    </xf>
    <xf borderId="2" fillId="8" fontId="13" numFmtId="0" xfId="0" applyAlignment="1" applyBorder="1" applyFill="1" applyFont="1">
      <alignment horizontal="center" shrinkToFit="0" vertical="center" wrapText="1"/>
    </xf>
    <xf borderId="2" fillId="9" fontId="13" numFmtId="0" xfId="0" applyAlignment="1" applyBorder="1" applyFill="1" applyFont="1">
      <alignment horizontal="center" shrinkToFit="0" vertical="center" wrapText="1"/>
    </xf>
    <xf borderId="2" fillId="10" fontId="13" numFmtId="0" xfId="0" applyAlignment="1" applyBorder="1" applyFill="1" applyFont="1">
      <alignment horizontal="center" shrinkToFit="0" vertical="center" wrapText="1"/>
    </xf>
    <xf borderId="0" fillId="4" fontId="27" numFmtId="0" xfId="0" applyFill="1" applyFont="1"/>
    <xf borderId="2" fillId="10" fontId="25" numFmtId="0" xfId="0" applyAlignment="1" applyBorder="1" applyFill="1" applyFont="1">
      <alignment horizontal="center" shrinkToFit="0" vertical="center" wrapText="1"/>
    </xf>
    <xf borderId="1" fillId="8" fontId="25" numFmtId="0" xfId="0" applyAlignment="1" applyBorder="1" applyFill="1" applyFont="1">
      <alignment horizontal="center" shrinkToFit="0" vertical="center" wrapText="0"/>
    </xf>
    <xf borderId="3" fillId="8" fontId="25" numFmtId="0" xfId="0" applyAlignment="1" applyBorder="1" applyFill="1" applyFont="1">
      <alignment horizontal="center" shrinkToFit="0" vertical="center" wrapText="0"/>
    </xf>
    <xf borderId="2" fillId="7" fontId="13" numFmtId="0" xfId="0" applyAlignment="1" applyBorder="1" applyFill="1" applyFont="1">
      <alignment horizontal="center" shrinkToFit="0" vertical="center" wrapText="1"/>
    </xf>
    <xf borderId="2" fillId="9" fontId="25" numFmtId="0" xfId="0" applyAlignment="1" applyBorder="1" applyFill="1" applyFont="1">
      <alignment horizontal="center" shrinkToFit="0" vertical="center" wrapText="1"/>
    </xf>
    <xf borderId="0" fillId="11" fontId="28" numFmtId="0" xfId="0" applyAlignment="1" applyFill="1" applyFont="1">
      <alignment shrinkToFit="0" vertical="bottom" wrapText="0"/>
    </xf>
    <xf borderId="0" fillId="0" fontId="29" numFmtId="0" xfId="0" applyAlignment="1" applyFont="1">
      <alignment shrinkToFit="0" vertical="bottom" wrapText="1"/>
    </xf>
    <xf borderId="1" fillId="9" fontId="25" numFmtId="0" xfId="0" applyAlignment="1" applyBorder="1" applyFill="1" applyFont="1">
      <alignment horizontal="center" shrinkToFit="0" vertical="center" wrapText="0"/>
    </xf>
    <xf borderId="0" fillId="12" fontId="9" numFmtId="0" xfId="0" applyAlignment="1" applyFill="1" applyFont="1">
      <alignment shrinkToFit="0" vertical="center" wrapText="1"/>
    </xf>
    <xf borderId="3" fillId="9" fontId="25" numFmtId="0" xfId="0" applyAlignment="1" applyBorder="1" applyFill="1" applyFont="1">
      <alignment horizontal="center" shrinkToFit="0" vertical="center" wrapText="0"/>
    </xf>
    <xf borderId="2" fillId="8" fontId="25" numFmtId="0" xfId="0" applyAlignment="1" applyBorder="1" applyFill="1" applyFont="1">
      <alignment horizontal="center" shrinkToFit="0" vertical="center" wrapText="1"/>
    </xf>
    <xf borderId="2" fillId="9" fontId="30" numFmtId="0" xfId="0" applyAlignment="1" applyBorder="1" applyFill="1" applyFont="1">
      <alignment horizontal="center" shrinkToFit="0" vertical="center" wrapText="1"/>
    </xf>
    <xf borderId="1" fillId="10" fontId="25" numFmtId="0" xfId="0" applyAlignment="1" applyBorder="1" applyFill="1" applyFont="1">
      <alignment horizontal="center" shrinkToFit="0" vertical="center" wrapText="0"/>
    </xf>
    <xf borderId="3" fillId="10" fontId="25" numFmtId="0" xfId="0" applyAlignment="1" applyBorder="1" applyFill="1" applyFont="1">
      <alignment horizontal="center" shrinkToFit="0" vertical="center" wrapText="0"/>
    </xf>
    <xf borderId="4" fillId="6" fontId="31" numFmtId="0" xfId="0" applyAlignment="1" applyBorder="1" applyFill="1" applyFont="1">
      <alignment shrinkToFit="0" vertical="center" wrapText="1"/>
    </xf>
    <xf borderId="5" fillId="0" fontId="32" numFmtId="0" xfId="0" applyBorder="1" applyFont="1"/>
    <xf borderId="6" fillId="0" fontId="32" numFmtId="0" xfId="0" applyBorder="1" applyFont="1"/>
    <xf borderId="7" fillId="0" fontId="32" numFmtId="0" xfId="0" applyBorder="1" applyFont="1"/>
    <xf borderId="8" fillId="0" fontId="32" numFmtId="0" xfId="0" applyBorder="1" applyFont="1"/>
    <xf borderId="9" fillId="0" fontId="32" numFmtId="0" xfId="0" applyBorder="1" applyFont="1"/>
    <xf borderId="0" fillId="2" fontId="11" numFmtId="0" xfId="0" applyAlignment="1" applyFill="1" applyFont="1">
      <alignment horizontal="left" shrinkToFit="0" vertical="center" wrapText="0"/>
    </xf>
    <xf borderId="0" fillId="0" fontId="33" numFmtId="0" xfId="0" applyAlignment="1" applyFont="1">
      <alignment shrinkToFit="0" vertical="top" wrapText="1"/>
    </xf>
    <xf borderId="0" fillId="0" fontId="34" numFmtId="0" xfId="0" applyAlignment="1" applyFont="1">
      <alignment shrinkToFit="0" vertical="top" wrapText="1"/>
    </xf>
    <xf borderId="0" fillId="0" fontId="34" numFmtId="0" xfId="0" applyAlignment="1" applyFont="1">
      <alignment horizontal="center" shrinkToFit="0" vertical="top" wrapText="1"/>
    </xf>
  </cellXfs>
  <cellStyles count="1">
    <cellStyle xfId="0" name="Normal" builtinId="0"/>
  </cellStyles>
  <dxfs count="9">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color rgb="FF991B1B"/>
      </font>
      <fill>
        <patternFill patternType="solid">
          <fgColor rgb="FFFECACA"/>
          <bgColor rgb="FFFECACA"/>
        </patternFill>
      </fill>
      <border/>
    </dxf>
    <dxf>
      <font>
        <b/>
        <color rgb="FF9A3412"/>
      </font>
      <fill>
        <patternFill patternType="solid">
          <fgColor rgb="FFFED7AA"/>
          <bgColor rgb="FFFED7AA"/>
        </patternFill>
      </fill>
      <border/>
    </dxf>
    <dxf>
      <font>
        <b/>
        <color rgb="FF92400E"/>
      </font>
      <fill>
        <patternFill patternType="solid">
          <fgColor rgb="FFFEF3C7"/>
          <bgColor rgb="FFFEF3C7"/>
        </patternFill>
      </fill>
      <border/>
    </dxf>
    <dxf>
      <font>
        <b/>
        <color rgb="FF166534"/>
      </font>
      <fill>
        <patternFill patternType="solid">
          <fgColor rgb="FFDCFCE7"/>
          <bgColor rgb="FFDCFCE7"/>
        </patternFill>
      </fill>
      <border/>
    </dxf>
  </dxfs>
  <tableStyles count="1">
    <tableStyle count="4" pivot="0" name="Matriz de Riesgo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Riesgos por nivel inicial</a:t>
            </a:r>
          </a:p>
        </c:rich>
      </c:tx>
      <c:overlay val="0"/>
    </c:title>
    <c:plotArea>
      <c:layout/>
      <c:barChart>
        <c:barDir val="col"/>
        <c:varyColors val="0"/>
        <c:ser>
          <c:idx val="0"/>
          <c:order val="0"/>
          <c:tx>
            <c:v>Cantidad</c:v>
          </c:tx>
          <c:spPr>
            <a:solidFill>
              <a:schemeClr val="accent1"/>
            </a:solidFill>
            <a:ln cmpd="sng">
              <a:noFill/>
            </a:ln>
          </c:spPr>
          <c:invertIfNegative val="0"/>
          <c:cat>
            <c:strRef>
              <c:f>Resumen!$A$11:$A$14</c:f>
            </c:strRef>
          </c:cat>
          <c:val>
            <c:numRef>
              <c:f>Resumen!$B$11:$B$14</c:f>
              <c:numCache/>
            </c:numRef>
          </c:val>
        </c:ser>
        <c:axId val="1021129477"/>
        <c:axId val="1956612669"/>
      </c:barChart>
      <c:catAx>
        <c:axId val="10211294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956612669"/>
      </c:catAx>
      <c:valAx>
        <c:axId val="195661266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1021129477"/>
      </c:valAx>
    </c:plotArea>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xdr:row>
      <xdr:rowOff>0</xdr:rowOff>
    </xdr:from>
    <xdr:ext cx="10515600" cy="34004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S31" displayName="RiesgosSYNTRO_v02" name="RiesgosSYNTRO_v02" id="1">
  <tableColumns count="19">
    <tableColumn name="ID" id="1"/>
    <tableColumn name="Categoría" id="2"/>
    <tableColumn name="Riesgo" id="3"/>
    <tableColumn name="Causa / origen" id="4"/>
    <tableColumn name="Consecuencia" id="5"/>
    <tableColumn name="Prob." id="6"/>
    <tableColumn name="Impacto" id="7"/>
    <tableColumn name="Exposición" id="8"/>
    <tableColumn name="Nivel" id="9"/>
    <tableColumn name="Estrategia" id="10"/>
    <tableColumn name="Respuesta preventiva / mitigación" id="11"/>
    <tableColumn name="Plan de contingencia" id="12"/>
    <tableColumn name="Responsable" id="13"/>
    <tableColumn name="Indicador / disparador" id="14"/>
    <tableColumn name="Estado" id="15"/>
    <tableColumn name="EDT relacionada" id="16"/>
    <tableColumn name="Prob. residual" id="17"/>
    <tableColumn name="Impacto residual" id="18"/>
    <tableColumn name="Riesgo residual" id="19"/>
  </tableColumns>
  <tableStyleInfo name="Matriz de Riesg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25.0"/>
    <col customWidth="1" min="3" max="6" width="22.0"/>
    <col customWidth="1" min="7" max="7" width="18.0"/>
    <col customWidth="1" min="8" max="8" width="20.0"/>
  </cols>
  <sheetData>
    <row r="1" ht="7.5" customHeight="1"/>
    <row r="2" ht="7.5" customHeight="1"/>
    <row r="3" ht="7.5" customHeight="1"/>
    <row r="4" ht="7.5" customHeight="1"/>
    <row r="5" ht="30.0" customHeight="1">
      <c r="B5" s="1" t="s">
        <v>0</v>
      </c>
    </row>
    <row r="6" ht="27.0" customHeight="1">
      <c r="B6" s="2" t="s">
        <v>1</v>
      </c>
    </row>
    <row r="7" ht="21.0" customHeight="1">
      <c r="B7" s="3" t="s">
        <v>2</v>
      </c>
    </row>
    <row r="10" ht="24.0" customHeight="1">
      <c r="B10" s="4" t="s">
        <v>3</v>
      </c>
      <c r="C10" s="4" t="s">
        <v>4</v>
      </c>
    </row>
    <row r="11" ht="24.75" customHeight="1">
      <c r="B11" s="5" t="s">
        <v>5</v>
      </c>
      <c r="C11" s="6" t="s">
        <v>6</v>
      </c>
    </row>
    <row r="12" ht="24.75" customHeight="1">
      <c r="B12" s="5" t="s">
        <v>7</v>
      </c>
      <c r="C12" s="6" t="s">
        <v>8</v>
      </c>
    </row>
    <row r="13" ht="24.75" customHeight="1">
      <c r="B13" s="5" t="s">
        <v>9</v>
      </c>
      <c r="C13" s="6" t="s">
        <v>10</v>
      </c>
    </row>
    <row r="14" ht="24.75" customHeight="1">
      <c r="B14" s="5" t="s">
        <v>11</v>
      </c>
      <c r="C14" s="6" t="s">
        <v>12</v>
      </c>
    </row>
    <row r="15" ht="24.75" customHeight="1">
      <c r="B15" s="5" t="s">
        <v>13</v>
      </c>
      <c r="C15" s="6" t="s">
        <v>14</v>
      </c>
    </row>
    <row r="16" ht="24.75" customHeight="1">
      <c r="B16" s="5" t="s">
        <v>15</v>
      </c>
      <c r="C16" s="6" t="s">
        <v>16</v>
      </c>
    </row>
    <row r="17" ht="24.75" customHeight="1">
      <c r="B17" s="5" t="s">
        <v>17</v>
      </c>
      <c r="C17" s="6" t="s">
        <v>18</v>
      </c>
    </row>
    <row r="18" ht="24.75" customHeight="1">
      <c r="B18" s="5" t="s">
        <v>19</v>
      </c>
      <c r="C18" s="6" t="s">
        <v>20</v>
      </c>
    </row>
    <row r="19" ht="24.75" customHeight="1">
      <c r="B19" s="5" t="s">
        <v>22</v>
      </c>
      <c r="C19" s="6" t="s">
        <v>23</v>
      </c>
    </row>
    <row r="20" ht="24.75" customHeight="1">
      <c r="B20" s="5" t="s">
        <v>24</v>
      </c>
      <c r="C20" s="6" t="s">
        <v>25</v>
      </c>
    </row>
    <row r="21" ht="24.75" customHeight="1">
      <c r="B21" s="5" t="s">
        <v>26</v>
      </c>
      <c r="C21" s="6" t="s">
        <v>27</v>
      </c>
    </row>
    <row r="22" ht="15.75" customHeight="1"/>
    <row r="23" ht="15.75" customHeight="1">
      <c r="B23" s="8" t="s">
        <v>28</v>
      </c>
    </row>
    <row r="24" ht="22.5" customHeight="1">
      <c r="B24" s="10" t="s">
        <v>30</v>
      </c>
    </row>
    <row r="25" ht="22.5" customHeight="1"/>
    <row r="26" ht="22.5" customHeight="1"/>
    <row r="27" ht="15.75" customHeight="1"/>
    <row r="28" ht="15.75" customHeight="1">
      <c r="B28" s="12" t="s">
        <v>34</v>
      </c>
    </row>
    <row r="29" ht="15.75" customHeight="1">
      <c r="B29" s="13" t="s">
        <v>50</v>
      </c>
      <c r="C29" s="13" t="s">
        <v>13</v>
      </c>
      <c r="D29" s="13" t="s">
        <v>54</v>
      </c>
      <c r="E29" s="13" t="s">
        <v>56</v>
      </c>
      <c r="G29" s="13" t="s">
        <v>60</v>
      </c>
      <c r="H29" s="13" t="s">
        <v>63</v>
      </c>
    </row>
    <row r="30" ht="33.75" customHeight="1">
      <c r="B30" s="15" t="s">
        <v>67</v>
      </c>
      <c r="C30" s="15" t="s">
        <v>14</v>
      </c>
      <c r="D30" s="15" t="s">
        <v>18</v>
      </c>
      <c r="E30" s="15" t="s">
        <v>72</v>
      </c>
      <c r="G30" s="15" t="s">
        <v>73</v>
      </c>
      <c r="H30" s="15" t="s">
        <v>74</v>
      </c>
    </row>
    <row r="31" ht="42.0" customHeight="1">
      <c r="B31" s="17" t="s">
        <v>76</v>
      </c>
      <c r="C31" s="17" t="s">
        <v>14</v>
      </c>
      <c r="D31" s="17" t="s">
        <v>18</v>
      </c>
      <c r="E31" s="17" t="s">
        <v>77</v>
      </c>
      <c r="G31" s="17" t="s">
        <v>73</v>
      </c>
      <c r="H31" s="17" t="s">
        <v>74</v>
      </c>
    </row>
    <row r="32" ht="37.5" customHeight="1">
      <c r="B32" s="18" t="s">
        <v>79</v>
      </c>
      <c r="C32" s="17" t="s">
        <v>80</v>
      </c>
      <c r="D32" s="17" t="s">
        <v>18</v>
      </c>
      <c r="E32" s="17" t="s">
        <v>81</v>
      </c>
      <c r="G32" s="17" t="s">
        <v>73</v>
      </c>
      <c r="H32" s="17" t="s">
        <v>74</v>
      </c>
    </row>
    <row r="33" ht="15.75" customHeight="1"/>
    <row r="34" ht="30.0" customHeight="1">
      <c r="B34" s="20" t="s">
        <v>83</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5:H5"/>
    <mergeCell ref="B6:H6"/>
    <mergeCell ref="B7:H7"/>
    <mergeCell ref="C10:H10"/>
    <mergeCell ref="C11:H11"/>
    <mergeCell ref="C12:H12"/>
    <mergeCell ref="C13:H13"/>
    <mergeCell ref="C14:H14"/>
    <mergeCell ref="C15:H15"/>
    <mergeCell ref="C16:H16"/>
    <mergeCell ref="C17:H17"/>
    <mergeCell ref="C18:H18"/>
    <mergeCell ref="C19:H19"/>
    <mergeCell ref="C20:H20"/>
    <mergeCell ref="E32:F32"/>
    <mergeCell ref="B34:H34"/>
    <mergeCell ref="C21:H21"/>
    <mergeCell ref="B23:H23"/>
    <mergeCell ref="B24:H26"/>
    <mergeCell ref="B28:H28"/>
    <mergeCell ref="E29:F29"/>
    <mergeCell ref="E30:F30"/>
    <mergeCell ref="E31:F3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9.0"/>
    <col customWidth="1" min="2" max="2" width="22.0"/>
    <col customWidth="1" min="3" max="5" width="34.0"/>
    <col customWidth="1" min="6" max="7" width="9.0"/>
    <col customWidth="1" min="8" max="8" width="10.0"/>
    <col customWidth="1" min="9" max="9" width="11.0"/>
    <col customWidth="1" min="10" max="10" width="15.0"/>
    <col customWidth="1" min="11" max="12" width="40.0"/>
    <col customWidth="1" min="13" max="13" width="28.0"/>
    <col customWidth="1" min="14" max="14" width="36.0"/>
    <col customWidth="1" min="15" max="15" width="13.0"/>
    <col customWidth="1" min="16" max="16" width="20.0"/>
    <col customWidth="1" min="17" max="17" width="12.0"/>
    <col customWidth="1" min="18" max="19" width="13.0"/>
  </cols>
  <sheetData>
    <row r="1" ht="30.0" customHeight="1">
      <c r="A1" s="1" t="s">
        <v>78</v>
      </c>
    </row>
    <row r="2" ht="24.0" customHeight="1">
      <c r="A2" s="19" t="s">
        <v>82</v>
      </c>
    </row>
    <row r="4" ht="33.75" customHeight="1">
      <c r="A4" s="21" t="s">
        <v>84</v>
      </c>
      <c r="B4" s="21" t="s">
        <v>85</v>
      </c>
      <c r="C4" s="21" t="s">
        <v>86</v>
      </c>
      <c r="D4" s="21" t="s">
        <v>87</v>
      </c>
      <c r="E4" s="21" t="s">
        <v>88</v>
      </c>
      <c r="F4" s="21" t="s">
        <v>89</v>
      </c>
      <c r="G4" s="21" t="s">
        <v>33</v>
      </c>
      <c r="H4" s="21" t="s">
        <v>90</v>
      </c>
      <c r="I4" s="21" t="s">
        <v>52</v>
      </c>
      <c r="J4" s="21" t="s">
        <v>91</v>
      </c>
      <c r="K4" s="21" t="s">
        <v>92</v>
      </c>
      <c r="L4" s="21" t="s">
        <v>93</v>
      </c>
      <c r="M4" s="21" t="s">
        <v>54</v>
      </c>
      <c r="N4" s="21" t="s">
        <v>94</v>
      </c>
      <c r="O4" s="21" t="s">
        <v>60</v>
      </c>
      <c r="P4" s="21" t="s">
        <v>95</v>
      </c>
      <c r="Q4" s="21" t="s">
        <v>96</v>
      </c>
      <c r="R4" s="21" t="s">
        <v>97</v>
      </c>
      <c r="S4" s="21" t="s">
        <v>98</v>
      </c>
    </row>
    <row r="5" ht="75.75" customHeight="1">
      <c r="A5" s="22" t="s">
        <v>99</v>
      </c>
      <c r="B5" s="23" t="s">
        <v>100</v>
      </c>
      <c r="C5" s="23" t="s">
        <v>101</v>
      </c>
      <c r="D5" s="23" t="s">
        <v>102</v>
      </c>
      <c r="E5" s="23" t="s">
        <v>103</v>
      </c>
      <c r="F5" s="24">
        <v>4.0</v>
      </c>
      <c r="G5" s="24">
        <v>4.0</v>
      </c>
      <c r="H5" s="24">
        <f t="shared" ref="H5:H31" si="1">F5*G5</f>
        <v>16</v>
      </c>
      <c r="I5" s="24" t="str">
        <f t="shared" ref="I5:I31" si="2">IF(H5&gt;=15,"Crítico",IF(H5&gt;=10,"Alto",IF(H5&gt;=5,"Medio","Bajo")))</f>
        <v>Crítico</v>
      </c>
      <c r="J5" s="23" t="s">
        <v>105</v>
      </c>
      <c r="K5" s="23" t="s">
        <v>107</v>
      </c>
      <c r="L5" s="23" t="s">
        <v>111</v>
      </c>
      <c r="M5" s="23" t="s">
        <v>118</v>
      </c>
      <c r="N5" s="23" t="s">
        <v>126</v>
      </c>
      <c r="O5" s="23" t="s">
        <v>133</v>
      </c>
      <c r="P5" s="23" t="s">
        <v>137</v>
      </c>
      <c r="Q5" s="24">
        <v>2.0</v>
      </c>
      <c r="R5" s="24">
        <v>4.0</v>
      </c>
      <c r="S5" s="24">
        <f t="shared" ref="S5:S31" si="3">Q5*R5</f>
        <v>8</v>
      </c>
    </row>
    <row r="6" ht="75.75" customHeight="1">
      <c r="A6" s="22" t="s">
        <v>138</v>
      </c>
      <c r="B6" s="23" t="s">
        <v>139</v>
      </c>
      <c r="C6" s="23" t="s">
        <v>140</v>
      </c>
      <c r="D6" s="23" t="s">
        <v>141</v>
      </c>
      <c r="E6" s="23" t="s">
        <v>142</v>
      </c>
      <c r="F6" s="24">
        <v>3.0</v>
      </c>
      <c r="G6" s="24">
        <v>3.0</v>
      </c>
      <c r="H6" s="24">
        <f t="shared" si="1"/>
        <v>9</v>
      </c>
      <c r="I6" s="24" t="str">
        <f t="shared" si="2"/>
        <v>Medio</v>
      </c>
      <c r="J6" s="23" t="s">
        <v>105</v>
      </c>
      <c r="K6" s="23" t="s">
        <v>143</v>
      </c>
      <c r="L6" s="23" t="s">
        <v>144</v>
      </c>
      <c r="M6" s="23" t="s">
        <v>145</v>
      </c>
      <c r="N6" s="23" t="s">
        <v>146</v>
      </c>
      <c r="O6" s="23" t="s">
        <v>133</v>
      </c>
      <c r="P6" s="23" t="s">
        <v>147</v>
      </c>
      <c r="Q6" s="24">
        <v>2.0</v>
      </c>
      <c r="R6" s="24">
        <v>3.0</v>
      </c>
      <c r="S6" s="24">
        <f t="shared" si="3"/>
        <v>6</v>
      </c>
    </row>
    <row r="7" ht="75.75" customHeight="1">
      <c r="A7" s="22" t="s">
        <v>148</v>
      </c>
      <c r="B7" s="23" t="s">
        <v>149</v>
      </c>
      <c r="C7" s="23" t="s">
        <v>150</v>
      </c>
      <c r="D7" s="23" t="s">
        <v>151</v>
      </c>
      <c r="E7" s="23" t="s">
        <v>152</v>
      </c>
      <c r="F7" s="24">
        <v>4.0</v>
      </c>
      <c r="G7" s="24">
        <v>5.0</v>
      </c>
      <c r="H7" s="24">
        <f t="shared" si="1"/>
        <v>20</v>
      </c>
      <c r="I7" s="24" t="str">
        <f t="shared" si="2"/>
        <v>Crítico</v>
      </c>
      <c r="J7" s="23" t="s">
        <v>105</v>
      </c>
      <c r="K7" s="23" t="s">
        <v>155</v>
      </c>
      <c r="L7" s="23" t="s">
        <v>156</v>
      </c>
      <c r="M7" s="23" t="s">
        <v>158</v>
      </c>
      <c r="N7" s="23" t="s">
        <v>160</v>
      </c>
      <c r="O7" s="23" t="s">
        <v>133</v>
      </c>
      <c r="P7" s="23" t="s">
        <v>165</v>
      </c>
      <c r="Q7" s="24">
        <v>2.0</v>
      </c>
      <c r="R7" s="24">
        <v>5.0</v>
      </c>
      <c r="S7" s="24">
        <f t="shared" si="3"/>
        <v>10</v>
      </c>
    </row>
    <row r="8" ht="75.75" customHeight="1">
      <c r="A8" s="22" t="s">
        <v>181</v>
      </c>
      <c r="B8" s="23" t="s">
        <v>200</v>
      </c>
      <c r="C8" s="23" t="s">
        <v>205</v>
      </c>
      <c r="D8" s="23" t="s">
        <v>209</v>
      </c>
      <c r="E8" s="23" t="s">
        <v>213</v>
      </c>
      <c r="F8" s="24">
        <v>3.0</v>
      </c>
      <c r="G8" s="24">
        <v>5.0</v>
      </c>
      <c r="H8" s="24">
        <f t="shared" si="1"/>
        <v>15</v>
      </c>
      <c r="I8" s="24" t="str">
        <f t="shared" si="2"/>
        <v>Crítico</v>
      </c>
      <c r="J8" s="23" t="s">
        <v>105</v>
      </c>
      <c r="K8" s="23" t="s">
        <v>237</v>
      </c>
      <c r="L8" s="23" t="s">
        <v>242</v>
      </c>
      <c r="M8" s="23" t="s">
        <v>247</v>
      </c>
      <c r="N8" s="23" t="s">
        <v>252</v>
      </c>
      <c r="O8" s="23" t="s">
        <v>133</v>
      </c>
      <c r="P8" s="23" t="s">
        <v>261</v>
      </c>
      <c r="Q8" s="24">
        <v>2.0</v>
      </c>
      <c r="R8" s="24">
        <v>5.0</v>
      </c>
      <c r="S8" s="24">
        <f t="shared" si="3"/>
        <v>10</v>
      </c>
    </row>
    <row r="9" ht="75.75" customHeight="1">
      <c r="A9" s="22" t="s">
        <v>188</v>
      </c>
      <c r="B9" s="23" t="s">
        <v>296</v>
      </c>
      <c r="C9" s="23" t="s">
        <v>302</v>
      </c>
      <c r="D9" s="23" t="s">
        <v>309</v>
      </c>
      <c r="E9" s="23" t="s">
        <v>314</v>
      </c>
      <c r="F9" s="24">
        <v>4.0</v>
      </c>
      <c r="G9" s="24">
        <v>3.0</v>
      </c>
      <c r="H9" s="24">
        <f t="shared" si="1"/>
        <v>12</v>
      </c>
      <c r="I9" s="24" t="str">
        <f t="shared" si="2"/>
        <v>Alto</v>
      </c>
      <c r="J9" s="23" t="s">
        <v>105</v>
      </c>
      <c r="K9" s="23" t="s">
        <v>345</v>
      </c>
      <c r="L9" s="23" t="s">
        <v>349</v>
      </c>
      <c r="M9" s="23" t="s">
        <v>354</v>
      </c>
      <c r="N9" s="23" t="s">
        <v>356</v>
      </c>
      <c r="O9" s="23" t="s">
        <v>133</v>
      </c>
      <c r="P9" s="23" t="s">
        <v>261</v>
      </c>
      <c r="Q9" s="24">
        <v>2.0</v>
      </c>
      <c r="R9" s="24">
        <v>3.0</v>
      </c>
      <c r="S9" s="24">
        <f t="shared" si="3"/>
        <v>6</v>
      </c>
    </row>
    <row r="10" ht="75.75" customHeight="1">
      <c r="A10" s="22" t="s">
        <v>196</v>
      </c>
      <c r="B10" s="23" t="s">
        <v>372</v>
      </c>
      <c r="C10" s="23" t="s">
        <v>374</v>
      </c>
      <c r="D10" s="23" t="s">
        <v>375</v>
      </c>
      <c r="E10" s="23" t="s">
        <v>378</v>
      </c>
      <c r="F10" s="24">
        <v>3.0</v>
      </c>
      <c r="G10" s="24">
        <v>4.0</v>
      </c>
      <c r="H10" s="24">
        <f t="shared" si="1"/>
        <v>12</v>
      </c>
      <c r="I10" s="24" t="str">
        <f t="shared" si="2"/>
        <v>Alto</v>
      </c>
      <c r="J10" s="23" t="s">
        <v>105</v>
      </c>
      <c r="K10" s="23" t="s">
        <v>381</v>
      </c>
      <c r="L10" s="23" t="s">
        <v>382</v>
      </c>
      <c r="M10" s="23" t="s">
        <v>383</v>
      </c>
      <c r="N10" s="23" t="s">
        <v>387</v>
      </c>
      <c r="O10" s="23" t="s">
        <v>133</v>
      </c>
      <c r="P10" s="23" t="s">
        <v>397</v>
      </c>
      <c r="Q10" s="24">
        <v>2.0</v>
      </c>
      <c r="R10" s="24">
        <v>4.0</v>
      </c>
      <c r="S10" s="24">
        <f t="shared" si="3"/>
        <v>8</v>
      </c>
    </row>
    <row r="11" ht="75.75" customHeight="1">
      <c r="A11" s="22" t="s">
        <v>204</v>
      </c>
      <c r="B11" s="23" t="s">
        <v>396</v>
      </c>
      <c r="C11" s="23" t="s">
        <v>360</v>
      </c>
      <c r="D11" s="23" t="s">
        <v>435</v>
      </c>
      <c r="E11" s="23" t="s">
        <v>441</v>
      </c>
      <c r="F11" s="24">
        <v>3.0</v>
      </c>
      <c r="G11" s="24">
        <v>5.0</v>
      </c>
      <c r="H11" s="24">
        <f t="shared" si="1"/>
        <v>15</v>
      </c>
      <c r="I11" s="24" t="str">
        <f t="shared" si="2"/>
        <v>Crítico</v>
      </c>
      <c r="J11" s="23" t="s">
        <v>105</v>
      </c>
      <c r="K11" s="23" t="s">
        <v>455</v>
      </c>
      <c r="L11" s="23" t="s">
        <v>456</v>
      </c>
      <c r="M11" s="23" t="s">
        <v>398</v>
      </c>
      <c r="N11" s="23" t="s">
        <v>457</v>
      </c>
      <c r="O11" s="23" t="s">
        <v>133</v>
      </c>
      <c r="P11" s="23" t="s">
        <v>399</v>
      </c>
      <c r="Q11" s="24">
        <v>2.0</v>
      </c>
      <c r="R11" s="24">
        <v>5.0</v>
      </c>
      <c r="S11" s="24">
        <f t="shared" si="3"/>
        <v>10</v>
      </c>
    </row>
    <row r="12" ht="75.75" customHeight="1">
      <c r="A12" s="22" t="s">
        <v>211</v>
      </c>
      <c r="B12" s="23" t="s">
        <v>401</v>
      </c>
      <c r="C12" s="23" t="s">
        <v>400</v>
      </c>
      <c r="D12" s="23" t="s">
        <v>458</v>
      </c>
      <c r="E12" s="23" t="s">
        <v>459</v>
      </c>
      <c r="F12" s="24">
        <v>3.0</v>
      </c>
      <c r="G12" s="24">
        <v>4.0</v>
      </c>
      <c r="H12" s="24">
        <f t="shared" si="1"/>
        <v>12</v>
      </c>
      <c r="I12" s="24" t="str">
        <f t="shared" si="2"/>
        <v>Alto</v>
      </c>
      <c r="J12" s="23" t="s">
        <v>105</v>
      </c>
      <c r="K12" s="23" t="s">
        <v>460</v>
      </c>
      <c r="L12" s="23" t="s">
        <v>461</v>
      </c>
      <c r="M12" s="23" t="s">
        <v>402</v>
      </c>
      <c r="N12" s="23" t="s">
        <v>462</v>
      </c>
      <c r="O12" s="23" t="s">
        <v>133</v>
      </c>
      <c r="P12" s="23" t="s">
        <v>261</v>
      </c>
      <c r="Q12" s="24">
        <v>2.0</v>
      </c>
      <c r="R12" s="24">
        <v>4.0</v>
      </c>
      <c r="S12" s="24">
        <f t="shared" si="3"/>
        <v>8</v>
      </c>
    </row>
    <row r="13" ht="75.75" customHeight="1">
      <c r="A13" s="22" t="s">
        <v>217</v>
      </c>
      <c r="B13" s="23" t="s">
        <v>444</v>
      </c>
      <c r="C13" s="23" t="s">
        <v>443</v>
      </c>
      <c r="D13" s="23" t="s">
        <v>463</v>
      </c>
      <c r="E13" s="23" t="s">
        <v>464</v>
      </c>
      <c r="F13" s="24">
        <v>3.0</v>
      </c>
      <c r="G13" s="24">
        <v>3.0</v>
      </c>
      <c r="H13" s="24">
        <f t="shared" si="1"/>
        <v>9</v>
      </c>
      <c r="I13" s="24" t="str">
        <f t="shared" si="2"/>
        <v>Medio</v>
      </c>
      <c r="J13" s="23" t="s">
        <v>105</v>
      </c>
      <c r="K13" s="23" t="s">
        <v>465</v>
      </c>
      <c r="L13" s="23" t="s">
        <v>466</v>
      </c>
      <c r="M13" s="23" t="s">
        <v>402</v>
      </c>
      <c r="N13" s="23" t="s">
        <v>467</v>
      </c>
      <c r="O13" s="23" t="s">
        <v>133</v>
      </c>
      <c r="P13" s="23" t="s">
        <v>445</v>
      </c>
      <c r="Q13" s="24">
        <v>2.0</v>
      </c>
      <c r="R13" s="24">
        <v>3.0</v>
      </c>
      <c r="S13" s="24">
        <f t="shared" si="3"/>
        <v>6</v>
      </c>
    </row>
    <row r="14" ht="75.75" customHeight="1">
      <c r="A14" s="22" t="s">
        <v>222</v>
      </c>
      <c r="B14" s="23" t="s">
        <v>447</v>
      </c>
      <c r="C14" s="23" t="s">
        <v>446</v>
      </c>
      <c r="D14" s="23" t="s">
        <v>468</v>
      </c>
      <c r="E14" s="23" t="s">
        <v>469</v>
      </c>
      <c r="F14" s="24">
        <v>3.0</v>
      </c>
      <c r="G14" s="24">
        <v>3.0</v>
      </c>
      <c r="H14" s="24">
        <f t="shared" si="1"/>
        <v>9</v>
      </c>
      <c r="I14" s="24" t="str">
        <f t="shared" si="2"/>
        <v>Medio</v>
      </c>
      <c r="J14" s="23" t="s">
        <v>105</v>
      </c>
      <c r="K14" s="23" t="s">
        <v>470</v>
      </c>
      <c r="L14" s="23" t="s">
        <v>471</v>
      </c>
      <c r="M14" s="23" t="s">
        <v>430</v>
      </c>
      <c r="N14" s="23" t="s">
        <v>472</v>
      </c>
      <c r="O14" s="23" t="s">
        <v>133</v>
      </c>
      <c r="P14" s="23" t="s">
        <v>410</v>
      </c>
      <c r="Q14" s="24">
        <v>2.0</v>
      </c>
      <c r="R14" s="24">
        <v>3.0</v>
      </c>
      <c r="S14" s="24">
        <f t="shared" si="3"/>
        <v>6</v>
      </c>
    </row>
    <row r="15" ht="75.75" customHeight="1">
      <c r="A15" s="22" t="s">
        <v>228</v>
      </c>
      <c r="B15" s="23" t="s">
        <v>384</v>
      </c>
      <c r="C15" s="23" t="s">
        <v>250</v>
      </c>
      <c r="D15" s="23" t="s">
        <v>473</v>
      </c>
      <c r="E15" s="23" t="s">
        <v>474</v>
      </c>
      <c r="F15" s="24">
        <v>5.0</v>
      </c>
      <c r="G15" s="24">
        <v>4.0</v>
      </c>
      <c r="H15" s="24">
        <f t="shared" si="1"/>
        <v>20</v>
      </c>
      <c r="I15" s="24" t="str">
        <f t="shared" si="2"/>
        <v>Crítico</v>
      </c>
      <c r="J15" s="23" t="s">
        <v>105</v>
      </c>
      <c r="K15" s="23" t="s">
        <v>475</v>
      </c>
      <c r="L15" s="23" t="s">
        <v>476</v>
      </c>
      <c r="M15" s="23" t="s">
        <v>385</v>
      </c>
      <c r="N15" s="23" t="s">
        <v>477</v>
      </c>
      <c r="O15" s="23" t="s">
        <v>133</v>
      </c>
      <c r="P15" s="23" t="s">
        <v>386</v>
      </c>
      <c r="Q15" s="24">
        <v>3.0</v>
      </c>
      <c r="R15" s="24">
        <v>4.0</v>
      </c>
      <c r="S15" s="24">
        <f t="shared" si="3"/>
        <v>12</v>
      </c>
    </row>
    <row r="16" ht="75.75" customHeight="1">
      <c r="A16" s="22" t="s">
        <v>234</v>
      </c>
      <c r="B16" s="23" t="s">
        <v>388</v>
      </c>
      <c r="C16" s="23" t="s">
        <v>291</v>
      </c>
      <c r="D16" s="23" t="s">
        <v>478</v>
      </c>
      <c r="E16" s="23" t="s">
        <v>479</v>
      </c>
      <c r="F16" s="24">
        <v>4.0</v>
      </c>
      <c r="G16" s="24">
        <v>4.0</v>
      </c>
      <c r="H16" s="24">
        <f t="shared" si="1"/>
        <v>16</v>
      </c>
      <c r="I16" s="24" t="str">
        <f t="shared" si="2"/>
        <v>Crítico</v>
      </c>
      <c r="J16" s="23" t="s">
        <v>105</v>
      </c>
      <c r="K16" s="23" t="s">
        <v>480</v>
      </c>
      <c r="L16" s="23" t="s">
        <v>481</v>
      </c>
      <c r="M16" s="23" t="s">
        <v>389</v>
      </c>
      <c r="N16" s="23" t="s">
        <v>482</v>
      </c>
      <c r="O16" s="23" t="s">
        <v>133</v>
      </c>
      <c r="P16" s="23" t="s">
        <v>390</v>
      </c>
      <c r="Q16" s="24">
        <v>2.0</v>
      </c>
      <c r="R16" s="24">
        <v>4.0</v>
      </c>
      <c r="S16" s="24">
        <f t="shared" si="3"/>
        <v>8</v>
      </c>
    </row>
    <row r="17" ht="75.75" customHeight="1">
      <c r="A17" s="22" t="s">
        <v>241</v>
      </c>
      <c r="B17" s="23" t="s">
        <v>429</v>
      </c>
      <c r="C17" s="23" t="s">
        <v>428</v>
      </c>
      <c r="D17" s="23" t="s">
        <v>483</v>
      </c>
      <c r="E17" s="23" t="s">
        <v>484</v>
      </c>
      <c r="F17" s="24">
        <v>2.0</v>
      </c>
      <c r="G17" s="24">
        <v>5.0</v>
      </c>
      <c r="H17" s="24">
        <f t="shared" si="1"/>
        <v>10</v>
      </c>
      <c r="I17" s="24" t="str">
        <f t="shared" si="2"/>
        <v>Alto</v>
      </c>
      <c r="J17" s="23" t="s">
        <v>105</v>
      </c>
      <c r="K17" s="23" t="s">
        <v>485</v>
      </c>
      <c r="L17" s="23" t="s">
        <v>486</v>
      </c>
      <c r="M17" s="23" t="s">
        <v>430</v>
      </c>
      <c r="N17" s="23" t="s">
        <v>487</v>
      </c>
      <c r="O17" s="23" t="s">
        <v>133</v>
      </c>
      <c r="P17" s="23" t="s">
        <v>137</v>
      </c>
      <c r="Q17" s="24">
        <v>1.0</v>
      </c>
      <c r="R17" s="24">
        <v>5.0</v>
      </c>
      <c r="S17" s="24">
        <f t="shared" si="3"/>
        <v>5</v>
      </c>
    </row>
    <row r="18" ht="75.75" customHeight="1">
      <c r="A18" s="22" t="s">
        <v>248</v>
      </c>
      <c r="B18" s="23" t="s">
        <v>432</v>
      </c>
      <c r="C18" s="23" t="s">
        <v>431</v>
      </c>
      <c r="D18" s="23" t="s">
        <v>488</v>
      </c>
      <c r="E18" s="23" t="s">
        <v>489</v>
      </c>
      <c r="F18" s="24">
        <v>2.0</v>
      </c>
      <c r="G18" s="24">
        <v>5.0</v>
      </c>
      <c r="H18" s="24">
        <f t="shared" si="1"/>
        <v>10</v>
      </c>
      <c r="I18" s="24" t="str">
        <f t="shared" si="2"/>
        <v>Alto</v>
      </c>
      <c r="J18" s="23" t="s">
        <v>433</v>
      </c>
      <c r="K18" s="23" t="s">
        <v>490</v>
      </c>
      <c r="L18" s="23" t="s">
        <v>491</v>
      </c>
      <c r="M18" s="23" t="s">
        <v>395</v>
      </c>
      <c r="N18" s="23" t="s">
        <v>492</v>
      </c>
      <c r="O18" s="23" t="s">
        <v>133</v>
      </c>
      <c r="P18" s="23" t="s">
        <v>434</v>
      </c>
      <c r="Q18" s="24">
        <v>1.0</v>
      </c>
      <c r="R18" s="24">
        <v>5.0</v>
      </c>
      <c r="S18" s="24">
        <f t="shared" si="3"/>
        <v>5</v>
      </c>
    </row>
    <row r="19" ht="75.75" customHeight="1">
      <c r="A19" s="22" t="s">
        <v>257</v>
      </c>
      <c r="B19" s="23" t="s">
        <v>404</v>
      </c>
      <c r="C19" s="23" t="s">
        <v>403</v>
      </c>
      <c r="D19" s="23" t="s">
        <v>493</v>
      </c>
      <c r="E19" s="23" t="s">
        <v>494</v>
      </c>
      <c r="F19" s="24">
        <v>3.0</v>
      </c>
      <c r="G19" s="24">
        <v>4.0</v>
      </c>
      <c r="H19" s="24">
        <f t="shared" si="1"/>
        <v>12</v>
      </c>
      <c r="I19" s="24" t="str">
        <f t="shared" si="2"/>
        <v>Alto</v>
      </c>
      <c r="J19" s="23" t="s">
        <v>105</v>
      </c>
      <c r="K19" s="23" t="s">
        <v>495</v>
      </c>
      <c r="L19" s="23" t="s">
        <v>496</v>
      </c>
      <c r="M19" s="23" t="s">
        <v>405</v>
      </c>
      <c r="N19" s="23" t="s">
        <v>497</v>
      </c>
      <c r="O19" s="23" t="s">
        <v>133</v>
      </c>
      <c r="P19" s="23" t="s">
        <v>406</v>
      </c>
      <c r="Q19" s="24">
        <v>2.0</v>
      </c>
      <c r="R19" s="24">
        <v>4.0</v>
      </c>
      <c r="S19" s="24">
        <f t="shared" si="3"/>
        <v>8</v>
      </c>
    </row>
    <row r="20" ht="75.75" customHeight="1">
      <c r="A20" s="22" t="s">
        <v>264</v>
      </c>
      <c r="B20" s="23" t="s">
        <v>437</v>
      </c>
      <c r="C20" s="23" t="s">
        <v>436</v>
      </c>
      <c r="D20" s="23" t="s">
        <v>498</v>
      </c>
      <c r="E20" s="23" t="s">
        <v>499</v>
      </c>
      <c r="F20" s="24">
        <v>2.0</v>
      </c>
      <c r="G20" s="24">
        <v>5.0</v>
      </c>
      <c r="H20" s="24">
        <f t="shared" si="1"/>
        <v>10</v>
      </c>
      <c r="I20" s="24" t="str">
        <f t="shared" si="2"/>
        <v>Alto</v>
      </c>
      <c r="J20" s="23" t="s">
        <v>433</v>
      </c>
      <c r="K20" s="23" t="s">
        <v>500</v>
      </c>
      <c r="L20" s="23" t="s">
        <v>501</v>
      </c>
      <c r="M20" s="23" t="s">
        <v>438</v>
      </c>
      <c r="N20" s="23" t="s">
        <v>502</v>
      </c>
      <c r="O20" s="23" t="s">
        <v>133</v>
      </c>
      <c r="P20" s="23" t="s">
        <v>261</v>
      </c>
      <c r="Q20" s="24">
        <v>1.0</v>
      </c>
      <c r="R20" s="24">
        <v>5.0</v>
      </c>
      <c r="S20" s="24">
        <f t="shared" si="3"/>
        <v>5</v>
      </c>
    </row>
    <row r="21" ht="75.75" customHeight="1">
      <c r="A21" s="22" t="s">
        <v>270</v>
      </c>
      <c r="B21" s="23" t="s">
        <v>440</v>
      </c>
      <c r="C21" s="23" t="s">
        <v>439</v>
      </c>
      <c r="D21" s="23" t="s">
        <v>503</v>
      </c>
      <c r="E21" s="23" t="s">
        <v>504</v>
      </c>
      <c r="F21" s="24">
        <v>2.0</v>
      </c>
      <c r="G21" s="24">
        <v>5.0</v>
      </c>
      <c r="H21" s="24">
        <f t="shared" si="1"/>
        <v>10</v>
      </c>
      <c r="I21" s="24" t="str">
        <f t="shared" si="2"/>
        <v>Alto</v>
      </c>
      <c r="J21" s="23" t="s">
        <v>105</v>
      </c>
      <c r="K21" s="23" t="s">
        <v>505</v>
      </c>
      <c r="L21" s="23" t="s">
        <v>506</v>
      </c>
      <c r="M21" s="23" t="s">
        <v>438</v>
      </c>
      <c r="N21" s="23" t="s">
        <v>507</v>
      </c>
      <c r="O21" s="23" t="s">
        <v>133</v>
      </c>
      <c r="P21" s="23" t="s">
        <v>442</v>
      </c>
      <c r="Q21" s="24">
        <v>1.0</v>
      </c>
      <c r="R21" s="24">
        <v>5.0</v>
      </c>
      <c r="S21" s="24">
        <f t="shared" si="3"/>
        <v>5</v>
      </c>
    </row>
    <row r="22" ht="75.75" customHeight="1">
      <c r="A22" s="22" t="s">
        <v>276</v>
      </c>
      <c r="B22" s="23" t="s">
        <v>391</v>
      </c>
      <c r="C22" s="23" t="s">
        <v>318</v>
      </c>
      <c r="D22" s="23" t="s">
        <v>508</v>
      </c>
      <c r="E22" s="23" t="s">
        <v>509</v>
      </c>
      <c r="F22" s="24">
        <v>4.0</v>
      </c>
      <c r="G22" s="24">
        <v>4.0</v>
      </c>
      <c r="H22" s="24">
        <f t="shared" si="1"/>
        <v>16</v>
      </c>
      <c r="I22" s="24" t="str">
        <f t="shared" si="2"/>
        <v>Crítico</v>
      </c>
      <c r="J22" s="23" t="s">
        <v>105</v>
      </c>
      <c r="K22" s="23" t="s">
        <v>510</v>
      </c>
      <c r="L22" s="23" t="s">
        <v>511</v>
      </c>
      <c r="M22" s="23" t="s">
        <v>392</v>
      </c>
      <c r="N22" s="23" t="s">
        <v>512</v>
      </c>
      <c r="O22" s="23" t="s">
        <v>133</v>
      </c>
      <c r="P22" s="23" t="s">
        <v>393</v>
      </c>
      <c r="Q22" s="24">
        <v>2.0</v>
      </c>
      <c r="R22" s="24">
        <v>4.0</v>
      </c>
      <c r="S22" s="24">
        <f t="shared" si="3"/>
        <v>8</v>
      </c>
    </row>
    <row r="23" ht="75.75" customHeight="1">
      <c r="A23" s="22" t="s">
        <v>283</v>
      </c>
      <c r="B23" s="23" t="s">
        <v>449</v>
      </c>
      <c r="C23" s="23" t="s">
        <v>448</v>
      </c>
      <c r="D23" s="23" t="s">
        <v>513</v>
      </c>
      <c r="E23" s="23" t="s">
        <v>514</v>
      </c>
      <c r="F23" s="24">
        <v>3.0</v>
      </c>
      <c r="G23" s="24">
        <v>3.0</v>
      </c>
      <c r="H23" s="24">
        <f t="shared" si="1"/>
        <v>9</v>
      </c>
      <c r="I23" s="24" t="str">
        <f t="shared" si="2"/>
        <v>Medio</v>
      </c>
      <c r="J23" s="23" t="s">
        <v>105</v>
      </c>
      <c r="K23" s="23" t="s">
        <v>515</v>
      </c>
      <c r="L23" s="23" t="s">
        <v>516</v>
      </c>
      <c r="M23" s="23" t="s">
        <v>392</v>
      </c>
      <c r="N23" s="23" t="s">
        <v>517</v>
      </c>
      <c r="O23" s="23" t="s">
        <v>133</v>
      </c>
      <c r="P23" s="23" t="s">
        <v>450</v>
      </c>
      <c r="Q23" s="24">
        <v>2.0</v>
      </c>
      <c r="R23" s="24">
        <v>3.0</v>
      </c>
      <c r="S23" s="24">
        <f t="shared" si="3"/>
        <v>6</v>
      </c>
    </row>
    <row r="24" ht="75.75" customHeight="1">
      <c r="A24" s="22" t="s">
        <v>294</v>
      </c>
      <c r="B24" s="23" t="s">
        <v>408</v>
      </c>
      <c r="C24" s="23" t="s">
        <v>407</v>
      </c>
      <c r="D24" s="23" t="s">
        <v>518</v>
      </c>
      <c r="E24" s="23" t="s">
        <v>519</v>
      </c>
      <c r="F24" s="24">
        <v>3.0</v>
      </c>
      <c r="G24" s="24">
        <v>4.0</v>
      </c>
      <c r="H24" s="24">
        <f t="shared" si="1"/>
        <v>12</v>
      </c>
      <c r="I24" s="24" t="str">
        <f t="shared" si="2"/>
        <v>Alto</v>
      </c>
      <c r="J24" s="23" t="s">
        <v>105</v>
      </c>
      <c r="K24" s="23" t="s">
        <v>520</v>
      </c>
      <c r="L24" s="23" t="s">
        <v>521</v>
      </c>
      <c r="M24" s="23" t="s">
        <v>409</v>
      </c>
      <c r="N24" s="23" t="s">
        <v>522</v>
      </c>
      <c r="O24" s="23" t="s">
        <v>133</v>
      </c>
      <c r="P24" s="23" t="s">
        <v>410</v>
      </c>
      <c r="Q24" s="24">
        <v>2.0</v>
      </c>
      <c r="R24" s="24">
        <v>4.0</v>
      </c>
      <c r="S24" s="24">
        <f t="shared" si="3"/>
        <v>8</v>
      </c>
    </row>
    <row r="25" ht="75.75" customHeight="1">
      <c r="A25" s="22" t="s">
        <v>303</v>
      </c>
      <c r="B25" s="23" t="s">
        <v>452</v>
      </c>
      <c r="C25" s="23" t="s">
        <v>451</v>
      </c>
      <c r="D25" s="23" t="s">
        <v>523</v>
      </c>
      <c r="E25" s="23" t="s">
        <v>524</v>
      </c>
      <c r="F25" s="24">
        <v>2.0</v>
      </c>
      <c r="G25" s="24">
        <v>4.0</v>
      </c>
      <c r="H25" s="24">
        <f t="shared" si="1"/>
        <v>8</v>
      </c>
      <c r="I25" s="24" t="str">
        <f t="shared" si="2"/>
        <v>Medio</v>
      </c>
      <c r="J25" s="23" t="s">
        <v>105</v>
      </c>
      <c r="K25" s="23" t="s">
        <v>525</v>
      </c>
      <c r="L25" s="23" t="s">
        <v>526</v>
      </c>
      <c r="M25" s="23" t="s">
        <v>453</v>
      </c>
      <c r="N25" s="23" t="s">
        <v>527</v>
      </c>
      <c r="O25" s="23" t="s">
        <v>133</v>
      </c>
      <c r="P25" s="23" t="s">
        <v>454</v>
      </c>
      <c r="Q25" s="24">
        <v>1.0</v>
      </c>
      <c r="R25" s="24">
        <v>4.0</v>
      </c>
      <c r="S25" s="24">
        <f t="shared" si="3"/>
        <v>4</v>
      </c>
    </row>
    <row r="26" ht="75.75" customHeight="1">
      <c r="A26" s="22" t="s">
        <v>311</v>
      </c>
      <c r="B26" s="23" t="s">
        <v>412</v>
      </c>
      <c r="C26" s="23" t="s">
        <v>411</v>
      </c>
      <c r="D26" s="23" t="s">
        <v>528</v>
      </c>
      <c r="E26" s="23" t="s">
        <v>529</v>
      </c>
      <c r="F26" s="24">
        <v>3.0</v>
      </c>
      <c r="G26" s="24">
        <v>4.0</v>
      </c>
      <c r="H26" s="24">
        <f t="shared" si="1"/>
        <v>12</v>
      </c>
      <c r="I26" s="24" t="str">
        <f t="shared" si="2"/>
        <v>Alto</v>
      </c>
      <c r="J26" s="23" t="s">
        <v>105</v>
      </c>
      <c r="K26" s="23" t="s">
        <v>530</v>
      </c>
      <c r="L26" s="23" t="s">
        <v>531</v>
      </c>
      <c r="M26" s="23" t="s">
        <v>413</v>
      </c>
      <c r="N26" s="23" t="s">
        <v>532</v>
      </c>
      <c r="O26" s="23" t="s">
        <v>133</v>
      </c>
      <c r="P26" s="23" t="s">
        <v>414</v>
      </c>
      <c r="Q26" s="24">
        <v>2.0</v>
      </c>
      <c r="R26" s="24">
        <v>4.0</v>
      </c>
      <c r="S26" s="24">
        <f t="shared" si="3"/>
        <v>8</v>
      </c>
    </row>
    <row r="27" ht="75.75" customHeight="1">
      <c r="A27" s="22" t="s">
        <v>319</v>
      </c>
      <c r="B27" s="23" t="s">
        <v>416</v>
      </c>
      <c r="C27" s="23" t="s">
        <v>415</v>
      </c>
      <c r="D27" s="23" t="s">
        <v>533</v>
      </c>
      <c r="E27" s="23" t="s">
        <v>534</v>
      </c>
      <c r="F27" s="24">
        <v>3.0</v>
      </c>
      <c r="G27" s="24">
        <v>4.0</v>
      </c>
      <c r="H27" s="24">
        <f t="shared" si="1"/>
        <v>12</v>
      </c>
      <c r="I27" s="24" t="str">
        <f t="shared" si="2"/>
        <v>Alto</v>
      </c>
      <c r="J27" s="23" t="s">
        <v>417</v>
      </c>
      <c r="K27" s="23" t="s">
        <v>535</v>
      </c>
      <c r="L27" s="23" t="s">
        <v>536</v>
      </c>
      <c r="M27" s="23" t="s">
        <v>392</v>
      </c>
      <c r="N27" s="23" t="s">
        <v>537</v>
      </c>
      <c r="O27" s="23" t="s">
        <v>133</v>
      </c>
      <c r="P27" s="23" t="s">
        <v>418</v>
      </c>
      <c r="Q27" s="24">
        <v>2.0</v>
      </c>
      <c r="R27" s="24">
        <v>4.0</v>
      </c>
      <c r="S27" s="24">
        <f t="shared" si="3"/>
        <v>8</v>
      </c>
    </row>
    <row r="28" ht="75.75" customHeight="1">
      <c r="A28" s="22" t="s">
        <v>328</v>
      </c>
      <c r="B28" s="23" t="s">
        <v>420</v>
      </c>
      <c r="C28" s="23" t="s">
        <v>419</v>
      </c>
      <c r="D28" s="23" t="s">
        <v>538</v>
      </c>
      <c r="E28" s="23" t="s">
        <v>539</v>
      </c>
      <c r="F28" s="24">
        <v>3.0</v>
      </c>
      <c r="G28" s="24">
        <v>4.0</v>
      </c>
      <c r="H28" s="24">
        <f t="shared" si="1"/>
        <v>12</v>
      </c>
      <c r="I28" s="24" t="str">
        <f t="shared" si="2"/>
        <v>Alto</v>
      </c>
      <c r="J28" s="23" t="s">
        <v>105</v>
      </c>
      <c r="K28" s="23" t="s">
        <v>540</v>
      </c>
      <c r="L28" s="23" t="s">
        <v>541</v>
      </c>
      <c r="M28" s="23" t="s">
        <v>392</v>
      </c>
      <c r="N28" s="23" t="s">
        <v>542</v>
      </c>
      <c r="O28" s="23" t="s">
        <v>133</v>
      </c>
      <c r="P28" s="23" t="s">
        <v>421</v>
      </c>
      <c r="Q28" s="24">
        <v>2.0</v>
      </c>
      <c r="R28" s="24">
        <v>4.0</v>
      </c>
      <c r="S28" s="24">
        <f t="shared" si="3"/>
        <v>8</v>
      </c>
    </row>
    <row r="29" ht="75.75" customHeight="1">
      <c r="A29" s="22" t="s">
        <v>325</v>
      </c>
      <c r="B29" s="23" t="s">
        <v>394</v>
      </c>
      <c r="C29" s="23" t="s">
        <v>327</v>
      </c>
      <c r="D29" s="23" t="s">
        <v>543</v>
      </c>
      <c r="E29" s="23" t="s">
        <v>544</v>
      </c>
      <c r="F29" s="24">
        <v>4.0</v>
      </c>
      <c r="G29" s="24">
        <v>4.0</v>
      </c>
      <c r="H29" s="24">
        <f t="shared" si="1"/>
        <v>16</v>
      </c>
      <c r="I29" s="24" t="str">
        <f t="shared" si="2"/>
        <v>Crítico</v>
      </c>
      <c r="J29" s="23" t="s">
        <v>105</v>
      </c>
      <c r="K29" s="23" t="s">
        <v>545</v>
      </c>
      <c r="L29" s="23" t="s">
        <v>546</v>
      </c>
      <c r="M29" s="23" t="s">
        <v>395</v>
      </c>
      <c r="N29" s="23" t="s">
        <v>547</v>
      </c>
      <c r="O29" s="23" t="s">
        <v>133</v>
      </c>
      <c r="P29" s="23" t="s">
        <v>165</v>
      </c>
      <c r="Q29" s="24">
        <v>3.0</v>
      </c>
      <c r="R29" s="24">
        <v>4.0</v>
      </c>
      <c r="S29" s="24">
        <f t="shared" si="3"/>
        <v>12</v>
      </c>
    </row>
    <row r="30" ht="75.75" customHeight="1">
      <c r="A30" s="22" t="s">
        <v>340</v>
      </c>
      <c r="B30" s="23" t="s">
        <v>423</v>
      </c>
      <c r="C30" s="23" t="s">
        <v>422</v>
      </c>
      <c r="D30" s="23" t="s">
        <v>548</v>
      </c>
      <c r="E30" s="23" t="s">
        <v>549</v>
      </c>
      <c r="F30" s="24">
        <v>3.0</v>
      </c>
      <c r="G30" s="24">
        <v>4.0</v>
      </c>
      <c r="H30" s="24">
        <f t="shared" si="1"/>
        <v>12</v>
      </c>
      <c r="I30" s="24" t="str">
        <f t="shared" si="2"/>
        <v>Alto</v>
      </c>
      <c r="J30" s="23" t="s">
        <v>105</v>
      </c>
      <c r="K30" s="23" t="s">
        <v>550</v>
      </c>
      <c r="L30" s="23" t="s">
        <v>551</v>
      </c>
      <c r="M30" s="23" t="s">
        <v>395</v>
      </c>
      <c r="N30" s="23" t="s">
        <v>552</v>
      </c>
      <c r="O30" s="23" t="s">
        <v>133</v>
      </c>
      <c r="P30" s="23" t="s">
        <v>137</v>
      </c>
      <c r="Q30" s="24">
        <v>2.0</v>
      </c>
      <c r="R30" s="24">
        <v>4.0</v>
      </c>
      <c r="S30" s="24">
        <f t="shared" si="3"/>
        <v>8</v>
      </c>
    </row>
    <row r="31" ht="75.75" customHeight="1">
      <c r="A31" s="22" t="s">
        <v>346</v>
      </c>
      <c r="B31" s="23" t="s">
        <v>425</v>
      </c>
      <c r="C31" s="23" t="s">
        <v>424</v>
      </c>
      <c r="D31" s="23" t="s">
        <v>553</v>
      </c>
      <c r="E31" s="23" t="s">
        <v>554</v>
      </c>
      <c r="F31" s="24">
        <v>3.0</v>
      </c>
      <c r="G31" s="24">
        <v>4.0</v>
      </c>
      <c r="H31" s="24">
        <f t="shared" si="1"/>
        <v>12</v>
      </c>
      <c r="I31" s="24" t="str">
        <f t="shared" si="2"/>
        <v>Alto</v>
      </c>
      <c r="J31" s="23" t="s">
        <v>105</v>
      </c>
      <c r="K31" s="23" t="s">
        <v>555</v>
      </c>
      <c r="L31" s="23" t="s">
        <v>556</v>
      </c>
      <c r="M31" s="23" t="s">
        <v>426</v>
      </c>
      <c r="N31" s="23" t="s">
        <v>557</v>
      </c>
      <c r="O31" s="23" t="s">
        <v>133</v>
      </c>
      <c r="P31" s="23" t="s">
        <v>427</v>
      </c>
      <c r="Q31" s="24">
        <v>2.0</v>
      </c>
      <c r="R31" s="24">
        <v>4.0</v>
      </c>
      <c r="S31" s="24">
        <f t="shared" si="3"/>
        <v>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S1"/>
    <mergeCell ref="A2:S2"/>
  </mergeCells>
  <conditionalFormatting sqref="I5:I20">
    <cfRule type="expression" dxfId="5" priority="1">
      <formula>I5="Crítico"</formula>
    </cfRule>
  </conditionalFormatting>
  <conditionalFormatting sqref="I5:I20">
    <cfRule type="expression" dxfId="6" priority="2">
      <formula>I5="Alto"</formula>
    </cfRule>
  </conditionalFormatting>
  <conditionalFormatting sqref="I5:I20">
    <cfRule type="expression" dxfId="7" priority="3">
      <formula>I5="Medio"</formula>
    </cfRule>
  </conditionalFormatting>
  <conditionalFormatting sqref="I5:I20">
    <cfRule type="expression" dxfId="8" priority="4">
      <formula>I5="Bajo"</formula>
    </cfRule>
  </conditionalFormatting>
  <conditionalFormatting sqref="H5:H20">
    <cfRule type="colorScale" priority="5">
      <colorScale>
        <cfvo type="min"/>
        <cfvo type="percentile" val="50"/>
        <cfvo type="max"/>
        <color rgb="FFDCFCE7"/>
        <color rgb="FFFEF3C7"/>
        <color rgb="FFFECACA"/>
      </colorScale>
    </cfRule>
  </conditionalFormatting>
  <conditionalFormatting sqref="S5:S20">
    <cfRule type="colorScale" priority="6">
      <colorScale>
        <cfvo type="min"/>
        <cfvo type="percentile" val="50"/>
        <cfvo type="max"/>
        <color rgb="FFDCFCE7"/>
        <color rgb="FFFEF3C7"/>
        <color rgb="FFFECACA"/>
      </colorScale>
    </cfRule>
  </conditionalFormatting>
  <conditionalFormatting sqref="I5:I31">
    <cfRule type="expression" dxfId="5" priority="7">
      <formula>I5="Crítico"</formula>
    </cfRule>
  </conditionalFormatting>
  <conditionalFormatting sqref="I5:I31">
    <cfRule type="expression" dxfId="6" priority="8">
      <formula>I5="Alto"</formula>
    </cfRule>
  </conditionalFormatting>
  <conditionalFormatting sqref="I5:I31">
    <cfRule type="expression" dxfId="7" priority="9">
      <formula>I5="Medio"</formula>
    </cfRule>
  </conditionalFormatting>
  <conditionalFormatting sqref="I5:I31">
    <cfRule type="expression" dxfId="8" priority="10">
      <formula>I5="Bajo"</formula>
    </cfRule>
  </conditionalFormatting>
  <conditionalFormatting sqref="H5:H31">
    <cfRule type="colorScale" priority="11">
      <colorScale>
        <cfvo type="min"/>
        <cfvo type="percentile" val="50"/>
        <cfvo type="max"/>
        <color rgb="FFDCFCE7"/>
        <color rgb="FFFEF3C7"/>
        <color rgb="FFFECACA"/>
      </colorScale>
    </cfRule>
  </conditionalFormatting>
  <conditionalFormatting sqref="S5:S31">
    <cfRule type="colorScale" priority="12">
      <colorScale>
        <cfvo type="min"/>
        <cfvo type="percentile" val="50"/>
        <cfvo type="max"/>
        <color rgb="FFDCFCE7"/>
        <color rgb="FFFEF3C7"/>
        <color rgb="FFFECACA"/>
      </colorScale>
    </cfRule>
  </conditionalFormatting>
  <dataValidations>
    <dataValidation type="list" allowBlank="1" sqref="F5:G31 Q5:R31">
      <formula1>"1,2,3,4,5"</formula1>
    </dataValidation>
    <dataValidation type="list" allowBlank="1" sqref="J5:J31">
      <formula1>"Evitar,Mitigar,Transferir,Aceptar,Evitar / Mitigar,Mitigar / Aceptar"</formula1>
    </dataValidation>
    <dataValidation type="list" allowBlank="1" sqref="O5:O31">
      <formula1>"Abierto,En seguimiento,Materializado,Cerrado,Aceptado"</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18.0"/>
    <col customWidth="1" min="3" max="3" width="45.0"/>
    <col customWidth="1" min="4" max="4" width="4.0"/>
    <col customWidth="1" min="5" max="5" width="12.0"/>
    <col customWidth="1" min="6" max="6" width="55.0"/>
  </cols>
  <sheetData>
    <row r="1">
      <c r="A1" s="7" t="s">
        <v>21</v>
      </c>
    </row>
    <row r="3">
      <c r="A3" s="9" t="s">
        <v>29</v>
      </c>
      <c r="B3" s="9" t="s">
        <v>31</v>
      </c>
      <c r="C3" s="9" t="s">
        <v>32</v>
      </c>
      <c r="E3" s="9" t="s">
        <v>29</v>
      </c>
      <c r="F3" s="9" t="s">
        <v>33</v>
      </c>
    </row>
    <row r="4">
      <c r="A4" s="11">
        <v>1.0</v>
      </c>
      <c r="B4" s="11" t="s">
        <v>35</v>
      </c>
      <c r="C4" s="11" t="s">
        <v>36</v>
      </c>
      <c r="E4" s="11">
        <v>1.0</v>
      </c>
      <c r="F4" s="11" t="s">
        <v>37</v>
      </c>
    </row>
    <row r="5">
      <c r="A5" s="11">
        <v>2.0</v>
      </c>
      <c r="B5" s="11" t="s">
        <v>38</v>
      </c>
      <c r="C5" s="11" t="s">
        <v>39</v>
      </c>
      <c r="E5" s="11">
        <v>2.0</v>
      </c>
      <c r="F5" s="11" t="s">
        <v>40</v>
      </c>
    </row>
    <row r="6">
      <c r="A6" s="11">
        <v>3.0</v>
      </c>
      <c r="B6" s="11" t="s">
        <v>41</v>
      </c>
      <c r="C6" s="11" t="s">
        <v>42</v>
      </c>
      <c r="E6" s="11">
        <v>3.0</v>
      </c>
      <c r="F6" s="11" t="s">
        <v>43</v>
      </c>
    </row>
    <row r="7">
      <c r="A7" s="11">
        <v>4.0</v>
      </c>
      <c r="B7" s="11" t="s">
        <v>44</v>
      </c>
      <c r="C7" s="11" t="s">
        <v>45</v>
      </c>
      <c r="E7" s="11">
        <v>4.0</v>
      </c>
      <c r="F7" s="11" t="s">
        <v>46</v>
      </c>
    </row>
    <row r="8">
      <c r="A8" s="11">
        <v>5.0</v>
      </c>
      <c r="B8" s="11" t="s">
        <v>47</v>
      </c>
      <c r="C8" s="11" t="s">
        <v>48</v>
      </c>
      <c r="E8" s="11">
        <v>5.0</v>
      </c>
      <c r="F8" s="11" t="s">
        <v>49</v>
      </c>
    </row>
    <row r="10">
      <c r="A10" s="14" t="s">
        <v>51</v>
      </c>
      <c r="B10" s="14" t="s">
        <v>52</v>
      </c>
      <c r="C10" s="14" t="s">
        <v>53</v>
      </c>
    </row>
    <row r="11">
      <c r="A11" s="11" t="s">
        <v>55</v>
      </c>
      <c r="B11" s="11" t="s">
        <v>57</v>
      </c>
      <c r="C11" s="11" t="s">
        <v>58</v>
      </c>
    </row>
    <row r="12">
      <c r="A12" s="11" t="s">
        <v>59</v>
      </c>
      <c r="B12" s="11" t="s">
        <v>61</v>
      </c>
      <c r="C12" s="11" t="s">
        <v>62</v>
      </c>
    </row>
    <row r="13">
      <c r="A13" s="11" t="s">
        <v>64</v>
      </c>
      <c r="B13" s="11" t="s">
        <v>65</v>
      </c>
      <c r="C13" s="11" t="s">
        <v>66</v>
      </c>
    </row>
    <row r="14">
      <c r="A14" s="11" t="s">
        <v>68</v>
      </c>
      <c r="B14" s="11" t="s">
        <v>69</v>
      </c>
      <c r="C14" s="11" t="s">
        <v>70</v>
      </c>
    </row>
    <row r="16">
      <c r="A16" s="16" t="s">
        <v>71</v>
      </c>
    </row>
    <row r="17">
      <c r="A17" s="10" t="s">
        <v>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16:F16"/>
    <mergeCell ref="A17:F2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14.0"/>
    <col customWidth="1" min="3" max="3" width="4.0"/>
    <col customWidth="1" min="4" max="4" width="10.0"/>
    <col customWidth="1" min="5" max="5" width="52.0"/>
    <col customWidth="1" min="6" max="8" width="12.0"/>
  </cols>
  <sheetData>
    <row r="1">
      <c r="A1" s="33" t="s">
        <v>168</v>
      </c>
    </row>
    <row r="3">
      <c r="A3" s="25" t="s">
        <v>185</v>
      </c>
      <c r="B3" s="25" t="s">
        <v>29</v>
      </c>
      <c r="D3" s="25" t="s">
        <v>84</v>
      </c>
      <c r="E3" s="25" t="s">
        <v>191</v>
      </c>
      <c r="F3" s="25" t="s">
        <v>193</v>
      </c>
      <c r="G3" s="25" t="s">
        <v>195</v>
      </c>
      <c r="H3" s="25" t="s">
        <v>90</v>
      </c>
    </row>
    <row r="4" ht="45.75" customHeight="1">
      <c r="A4" s="34" t="s">
        <v>202</v>
      </c>
      <c r="B4" s="34">
        <v>27.0</v>
      </c>
      <c r="D4" s="11" t="s">
        <v>148</v>
      </c>
      <c r="E4" s="11" t="s">
        <v>150</v>
      </c>
      <c r="F4" s="11">
        <v>4.0</v>
      </c>
      <c r="G4" s="11">
        <v>5.0</v>
      </c>
      <c r="H4" s="11">
        <v>20.0</v>
      </c>
    </row>
    <row r="5" ht="45.75" customHeight="1">
      <c r="A5" s="34" t="s">
        <v>214</v>
      </c>
      <c r="B5" s="34">
        <f>COUNTIF('Matriz de Riesgos'!I5:I31,"Crítico")</f>
        <v>8</v>
      </c>
      <c r="D5" s="11" t="s">
        <v>228</v>
      </c>
      <c r="E5" s="11" t="s">
        <v>250</v>
      </c>
      <c r="F5" s="11">
        <v>5.0</v>
      </c>
      <c r="G5" s="11">
        <v>4.0</v>
      </c>
      <c r="H5" s="11">
        <v>20.0</v>
      </c>
    </row>
    <row r="6" ht="45.75" customHeight="1">
      <c r="A6" s="34" t="s">
        <v>255</v>
      </c>
      <c r="B6" s="34">
        <f>COUNTIF('Matriz de Riesgos'!I5:I31,"Alto")</f>
        <v>14</v>
      </c>
      <c r="D6" s="11" t="s">
        <v>99</v>
      </c>
      <c r="E6" s="11" t="s">
        <v>101</v>
      </c>
      <c r="F6" s="11">
        <v>4.0</v>
      </c>
      <c r="G6" s="11">
        <v>4.0</v>
      </c>
      <c r="H6" s="11">
        <v>16.0</v>
      </c>
    </row>
    <row r="7" ht="45.75" customHeight="1">
      <c r="A7" s="34" t="s">
        <v>277</v>
      </c>
      <c r="B7" s="34">
        <f>COUNTIF('Matriz de Riesgos'!I5:I31,"Medio")</f>
        <v>5</v>
      </c>
      <c r="D7" s="11" t="s">
        <v>234</v>
      </c>
      <c r="E7" s="11" t="s">
        <v>291</v>
      </c>
      <c r="F7" s="11">
        <v>4.0</v>
      </c>
      <c r="G7" s="11">
        <v>4.0</v>
      </c>
      <c r="H7" s="11">
        <v>16.0</v>
      </c>
    </row>
    <row r="8" ht="45.75" customHeight="1">
      <c r="A8" s="42" t="s">
        <v>295</v>
      </c>
      <c r="B8" s="42">
        <f>COUNTIF('Matriz de Riesgos'!I5:I31,"Bajo")</f>
        <v>0</v>
      </c>
      <c r="D8" s="11" t="s">
        <v>276</v>
      </c>
      <c r="E8" s="11" t="s">
        <v>318</v>
      </c>
      <c r="F8" s="11">
        <v>4.0</v>
      </c>
      <c r="G8" s="11">
        <v>4.0</v>
      </c>
      <c r="H8" s="11">
        <v>16.0</v>
      </c>
    </row>
    <row r="9" ht="45.75" customHeight="1">
      <c r="A9" s="25"/>
      <c r="B9" s="25"/>
      <c r="D9" s="11" t="s">
        <v>325</v>
      </c>
      <c r="E9" s="11" t="s">
        <v>327</v>
      </c>
      <c r="F9" s="11">
        <v>4.0</v>
      </c>
      <c r="G9" s="11">
        <v>4.0</v>
      </c>
      <c r="H9" s="11">
        <v>16.0</v>
      </c>
    </row>
    <row r="10" ht="45.75" customHeight="1">
      <c r="A10" s="48" t="s">
        <v>52</v>
      </c>
      <c r="B10" s="48" t="s">
        <v>337</v>
      </c>
      <c r="D10" s="11" t="s">
        <v>181</v>
      </c>
      <c r="E10" s="11" t="s">
        <v>205</v>
      </c>
      <c r="F10" s="11">
        <v>3.0</v>
      </c>
      <c r="G10" s="11">
        <v>5.0</v>
      </c>
      <c r="H10" s="11">
        <v>15.0</v>
      </c>
    </row>
    <row r="11" ht="45.75" customHeight="1">
      <c r="A11" s="34" t="s">
        <v>69</v>
      </c>
      <c r="B11" s="34">
        <f>COUNTIF('Matriz de Riesgos'!I5:I31,"Crítico")</f>
        <v>8</v>
      </c>
      <c r="D11" s="55" t="s">
        <v>204</v>
      </c>
      <c r="E11" s="55" t="s">
        <v>360</v>
      </c>
      <c r="F11" s="55">
        <v>3.0</v>
      </c>
      <c r="G11" s="55">
        <v>5.0</v>
      </c>
      <c r="H11" s="55">
        <v>15.0</v>
      </c>
    </row>
    <row r="12">
      <c r="A12" s="34" t="s">
        <v>65</v>
      </c>
      <c r="B12" s="34">
        <f>COUNTIF('Matriz de Riesgos'!I5:I31,"Alto")</f>
        <v>14</v>
      </c>
    </row>
    <row r="13">
      <c r="A13" s="34" t="s">
        <v>61</v>
      </c>
      <c r="B13" s="34">
        <f>COUNTIF('Matriz de Riesgos'!I5:I31,"Medio")</f>
        <v>5</v>
      </c>
    </row>
    <row r="14">
      <c r="A14" s="42" t="s">
        <v>57</v>
      </c>
      <c r="B14" s="42">
        <f>COUNTIF('Matriz de Riesgos'!I5:I31,"Bajo")</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0"/>
    <col customWidth="1" min="2" max="2" width="72.0"/>
    <col customWidth="1" min="3" max="3" width="25.0"/>
    <col customWidth="1" min="4" max="4" width="72.0"/>
    <col customWidth="1" min="5" max="6" width="8.63"/>
  </cols>
  <sheetData>
    <row r="1">
      <c r="A1" s="7" t="s">
        <v>104</v>
      </c>
    </row>
    <row r="3">
      <c r="A3" s="25" t="s">
        <v>106</v>
      </c>
      <c r="B3" s="25" t="s">
        <v>108</v>
      </c>
      <c r="C3" s="25" t="s">
        <v>60</v>
      </c>
      <c r="D3" s="25" t="s">
        <v>109</v>
      </c>
    </row>
    <row r="4" ht="43.5" customHeight="1">
      <c r="A4" s="26" t="s">
        <v>110</v>
      </c>
      <c r="B4" s="26" t="s">
        <v>112</v>
      </c>
      <c r="C4" s="26" t="s">
        <v>113</v>
      </c>
      <c r="D4" s="26" t="s">
        <v>114</v>
      </c>
    </row>
    <row r="5" ht="43.5" customHeight="1">
      <c r="A5" s="26" t="s">
        <v>115</v>
      </c>
      <c r="B5" s="26" t="s">
        <v>116</v>
      </c>
      <c r="C5" s="26" t="s">
        <v>113</v>
      </c>
      <c r="D5" s="26" t="s">
        <v>117</v>
      </c>
    </row>
    <row r="6" ht="43.5" customHeight="1">
      <c r="A6" s="26" t="s">
        <v>119</v>
      </c>
      <c r="B6" s="26" t="s">
        <v>120</v>
      </c>
      <c r="C6" s="26" t="s">
        <v>121</v>
      </c>
      <c r="D6" s="26" t="s">
        <v>122</v>
      </c>
    </row>
    <row r="7" ht="43.5" customHeight="1">
      <c r="A7" s="26" t="s">
        <v>123</v>
      </c>
      <c r="B7" s="26" t="s">
        <v>124</v>
      </c>
      <c r="C7" s="26" t="s">
        <v>125</v>
      </c>
      <c r="D7" s="26" t="s">
        <v>127</v>
      </c>
    </row>
    <row r="8" ht="43.5" customHeight="1">
      <c r="A8" s="27" t="s">
        <v>128</v>
      </c>
      <c r="B8" s="27" t="s">
        <v>129</v>
      </c>
      <c r="C8" s="27" t="s">
        <v>130</v>
      </c>
      <c r="D8" s="27" t="s">
        <v>131</v>
      </c>
    </row>
    <row r="9" ht="43.5" customHeight="1">
      <c r="A9" s="28" t="s">
        <v>132</v>
      </c>
      <c r="B9" s="28" t="s">
        <v>134</v>
      </c>
      <c r="C9" s="28" t="s">
        <v>135</v>
      </c>
      <c r="D9" s="28" t="s">
        <v>136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2.0"/>
    <col customWidth="1" min="2" max="2" width="28.0"/>
    <col customWidth="1" min="3" max="3" width="23.0"/>
    <col customWidth="1" min="4" max="4" width="48.0"/>
    <col customWidth="1" min="5" max="5" width="30.0"/>
    <col customWidth="1" min="6" max="6" width="48.0"/>
    <col customWidth="1" min="7" max="26" width="8.63"/>
  </cols>
  <sheetData>
    <row r="1">
      <c r="A1" s="29" t="s">
        <v>153</v>
      </c>
    </row>
    <row r="3">
      <c r="A3" s="30" t="s">
        <v>154</v>
      </c>
    </row>
    <row r="7">
      <c r="A7" s="31" t="s">
        <v>157</v>
      </c>
      <c r="B7" s="31" t="s">
        <v>159</v>
      </c>
      <c r="C7" s="31" t="s">
        <v>161</v>
      </c>
      <c r="D7" s="31" t="s">
        <v>162</v>
      </c>
      <c r="E7" s="31" t="s">
        <v>163</v>
      </c>
      <c r="F7" s="31" t="s">
        <v>164</v>
      </c>
    </row>
    <row r="8" ht="55.5" customHeight="1">
      <c r="A8" s="32" t="s">
        <v>99</v>
      </c>
      <c r="B8" s="28" t="s">
        <v>166</v>
      </c>
      <c r="C8" s="28" t="s">
        <v>167</v>
      </c>
      <c r="D8" s="28" t="s">
        <v>169</v>
      </c>
      <c r="E8" s="28" t="s">
        <v>170</v>
      </c>
      <c r="F8" s="28" t="s">
        <v>171</v>
      </c>
    </row>
    <row r="9" ht="55.5" customHeight="1">
      <c r="A9" s="32" t="s">
        <v>138</v>
      </c>
      <c r="B9" s="28" t="s">
        <v>172</v>
      </c>
      <c r="C9" s="28" t="s">
        <v>173</v>
      </c>
      <c r="D9" s="28" t="s">
        <v>174</v>
      </c>
      <c r="E9" s="28" t="s">
        <v>175</v>
      </c>
      <c r="F9" s="28" t="s">
        <v>176</v>
      </c>
    </row>
    <row r="10" ht="55.5" customHeight="1">
      <c r="A10" s="32" t="s">
        <v>148</v>
      </c>
      <c r="B10" s="28" t="s">
        <v>177</v>
      </c>
      <c r="C10" s="28" t="s">
        <v>167</v>
      </c>
      <c r="D10" s="28" t="s">
        <v>178</v>
      </c>
      <c r="E10" s="28" t="s">
        <v>179</v>
      </c>
      <c r="F10" s="28" t="s">
        <v>180</v>
      </c>
    </row>
    <row r="11" ht="55.5" customHeight="1">
      <c r="A11" s="32" t="s">
        <v>181</v>
      </c>
      <c r="B11" s="28" t="s">
        <v>182</v>
      </c>
      <c r="C11" s="28" t="s">
        <v>183</v>
      </c>
      <c r="D11" s="28" t="s">
        <v>184</v>
      </c>
      <c r="E11" s="28" t="s">
        <v>186</v>
      </c>
      <c r="F11" s="28" t="s">
        <v>187</v>
      </c>
    </row>
    <row r="12" ht="55.5" customHeight="1">
      <c r="A12" s="32" t="s">
        <v>188</v>
      </c>
      <c r="B12" s="28" t="s">
        <v>189</v>
      </c>
      <c r="C12" s="28" t="s">
        <v>183</v>
      </c>
      <c r="D12" s="28" t="s">
        <v>190</v>
      </c>
      <c r="E12" s="28" t="s">
        <v>192</v>
      </c>
      <c r="F12" s="28" t="s">
        <v>194</v>
      </c>
    </row>
    <row r="13" ht="55.5" customHeight="1">
      <c r="A13" s="32" t="s">
        <v>196</v>
      </c>
      <c r="B13" s="28" t="s">
        <v>197</v>
      </c>
      <c r="C13" s="28" t="s">
        <v>198</v>
      </c>
      <c r="D13" s="28" t="s">
        <v>199</v>
      </c>
      <c r="E13" s="28" t="s">
        <v>201</v>
      </c>
      <c r="F13" s="28" t="s">
        <v>203</v>
      </c>
    </row>
    <row r="14" ht="55.5" customHeight="1">
      <c r="A14" s="32" t="s">
        <v>204</v>
      </c>
      <c r="B14" s="28" t="s">
        <v>206</v>
      </c>
      <c r="C14" s="28" t="s">
        <v>198</v>
      </c>
      <c r="D14" s="28" t="s">
        <v>207</v>
      </c>
      <c r="E14" s="28" t="s">
        <v>208</v>
      </c>
      <c r="F14" s="28" t="s">
        <v>210</v>
      </c>
    </row>
    <row r="15" ht="55.5" customHeight="1">
      <c r="A15" s="32" t="s">
        <v>211</v>
      </c>
      <c r="B15" s="28" t="s">
        <v>212</v>
      </c>
      <c r="C15" s="28" t="s">
        <v>198</v>
      </c>
      <c r="D15" s="28" t="s">
        <v>215</v>
      </c>
      <c r="E15" s="28" t="s">
        <v>186</v>
      </c>
      <c r="F15" s="28" t="s">
        <v>216</v>
      </c>
    </row>
    <row r="16" ht="55.5" customHeight="1">
      <c r="A16" s="32" t="s">
        <v>217</v>
      </c>
      <c r="B16" s="28" t="s">
        <v>218</v>
      </c>
      <c r="C16" s="28" t="s">
        <v>198</v>
      </c>
      <c r="D16" s="28" t="s">
        <v>219</v>
      </c>
      <c r="E16" s="28" t="s">
        <v>220</v>
      </c>
      <c r="F16" s="28" t="s">
        <v>221</v>
      </c>
    </row>
    <row r="17" ht="55.5" customHeight="1">
      <c r="A17" s="32" t="s">
        <v>222</v>
      </c>
      <c r="B17" s="28" t="s">
        <v>223</v>
      </c>
      <c r="C17" s="28" t="s">
        <v>224</v>
      </c>
      <c r="D17" s="28" t="s">
        <v>225</v>
      </c>
      <c r="E17" s="28" t="s">
        <v>226</v>
      </c>
      <c r="F17" s="28" t="s">
        <v>227</v>
      </c>
    </row>
    <row r="18" ht="55.5" customHeight="1">
      <c r="A18" s="32" t="s">
        <v>228</v>
      </c>
      <c r="B18" s="28" t="s">
        <v>229</v>
      </c>
      <c r="C18" s="28" t="s">
        <v>230</v>
      </c>
      <c r="D18" s="28" t="s">
        <v>231</v>
      </c>
      <c r="E18" s="28" t="s">
        <v>232</v>
      </c>
      <c r="F18" s="28" t="s">
        <v>233</v>
      </c>
    </row>
    <row r="19" ht="55.5" customHeight="1">
      <c r="A19" s="32" t="s">
        <v>234</v>
      </c>
      <c r="B19" s="28" t="s">
        <v>235</v>
      </c>
      <c r="C19" s="28" t="s">
        <v>183</v>
      </c>
      <c r="D19" s="28" t="s">
        <v>236</v>
      </c>
      <c r="E19" s="28" t="s">
        <v>238</v>
      </c>
      <c r="F19" s="28" t="s">
        <v>239</v>
      </c>
    </row>
    <row r="20" ht="55.5" customHeight="1">
      <c r="A20" s="32" t="s">
        <v>241</v>
      </c>
      <c r="B20" s="28" t="s">
        <v>243</v>
      </c>
      <c r="C20" s="28" t="s">
        <v>198</v>
      </c>
      <c r="D20" s="28" t="s">
        <v>244</v>
      </c>
      <c r="E20" s="28" t="s">
        <v>245</v>
      </c>
      <c r="F20" s="28" t="s">
        <v>246</v>
      </c>
    </row>
    <row r="21" ht="55.5" customHeight="1">
      <c r="A21" s="32" t="s">
        <v>248</v>
      </c>
      <c r="B21" s="28" t="s">
        <v>249</v>
      </c>
      <c r="C21" s="28" t="s">
        <v>251</v>
      </c>
      <c r="D21" s="28" t="s">
        <v>253</v>
      </c>
      <c r="E21" s="28" t="s">
        <v>254</v>
      </c>
      <c r="F21" s="28" t="s">
        <v>256</v>
      </c>
    </row>
    <row r="22" ht="55.5" customHeight="1">
      <c r="A22" s="32" t="s">
        <v>257</v>
      </c>
      <c r="B22" s="28" t="s">
        <v>258</v>
      </c>
      <c r="C22" s="28" t="s">
        <v>224</v>
      </c>
      <c r="D22" s="28" t="s">
        <v>259</v>
      </c>
      <c r="E22" s="28" t="s">
        <v>260</v>
      </c>
      <c r="F22" s="28" t="s">
        <v>263</v>
      </c>
    </row>
    <row r="23" ht="55.5" customHeight="1">
      <c r="A23" s="32" t="s">
        <v>264</v>
      </c>
      <c r="B23" s="28" t="s">
        <v>265</v>
      </c>
      <c r="C23" s="28" t="s">
        <v>167</v>
      </c>
      <c r="D23" s="28" t="s">
        <v>266</v>
      </c>
      <c r="E23" s="28" t="s">
        <v>267</v>
      </c>
      <c r="F23" s="28" t="s">
        <v>268</v>
      </c>
    </row>
    <row r="24" ht="55.5" customHeight="1">
      <c r="A24" s="32" t="s">
        <v>270</v>
      </c>
      <c r="B24" s="28" t="s">
        <v>271</v>
      </c>
      <c r="C24" s="28" t="s">
        <v>167</v>
      </c>
      <c r="D24" s="28" t="s">
        <v>272</v>
      </c>
      <c r="E24" s="28" t="s">
        <v>274</v>
      </c>
      <c r="F24" s="28" t="s">
        <v>275</v>
      </c>
    </row>
    <row r="25" ht="55.5" customHeight="1">
      <c r="A25" s="32" t="s">
        <v>276</v>
      </c>
      <c r="B25" s="28" t="s">
        <v>278</v>
      </c>
      <c r="C25" s="28" t="s">
        <v>198</v>
      </c>
      <c r="D25" s="28" t="s">
        <v>279</v>
      </c>
      <c r="E25" s="28" t="s">
        <v>280</v>
      </c>
      <c r="F25" s="28" t="s">
        <v>282</v>
      </c>
    </row>
    <row r="26" ht="55.5" customHeight="1">
      <c r="A26" s="32" t="s">
        <v>283</v>
      </c>
      <c r="B26" s="28" t="s">
        <v>288</v>
      </c>
      <c r="C26" s="28" t="s">
        <v>289</v>
      </c>
      <c r="D26" s="28" t="s">
        <v>290</v>
      </c>
      <c r="E26" s="28" t="s">
        <v>292</v>
      </c>
      <c r="F26" s="28" t="s">
        <v>293</v>
      </c>
    </row>
    <row r="27" ht="55.5" customHeight="1">
      <c r="A27" s="32" t="s">
        <v>294</v>
      </c>
      <c r="B27" s="28" t="s">
        <v>297</v>
      </c>
      <c r="C27" s="28" t="s">
        <v>224</v>
      </c>
      <c r="D27" s="28" t="s">
        <v>299</v>
      </c>
      <c r="E27" s="28" t="s">
        <v>300</v>
      </c>
      <c r="F27" s="28" t="s">
        <v>301</v>
      </c>
    </row>
    <row r="28" ht="55.5" customHeight="1">
      <c r="A28" s="32" t="s">
        <v>303</v>
      </c>
      <c r="B28" s="28" t="s">
        <v>305</v>
      </c>
      <c r="C28" s="28" t="s">
        <v>224</v>
      </c>
      <c r="D28" s="28" t="s">
        <v>306</v>
      </c>
      <c r="E28" s="28" t="s">
        <v>307</v>
      </c>
      <c r="F28" s="28" t="s">
        <v>308</v>
      </c>
    </row>
    <row r="29" ht="55.5" customHeight="1">
      <c r="A29" s="32" t="s">
        <v>311</v>
      </c>
      <c r="B29" s="28" t="s">
        <v>312</v>
      </c>
      <c r="C29" s="28" t="s">
        <v>224</v>
      </c>
      <c r="D29" s="28" t="s">
        <v>313</v>
      </c>
      <c r="E29" s="28" t="s">
        <v>315</v>
      </c>
      <c r="F29" s="28" t="s">
        <v>317</v>
      </c>
    </row>
    <row r="30" ht="55.5" customHeight="1">
      <c r="A30" s="32" t="s">
        <v>319</v>
      </c>
      <c r="B30" s="28" t="s">
        <v>320</v>
      </c>
      <c r="C30" s="28" t="s">
        <v>321</v>
      </c>
      <c r="D30" s="28" t="s">
        <v>322</v>
      </c>
      <c r="E30" s="28" t="s">
        <v>324</v>
      </c>
      <c r="F30" s="28" t="s">
        <v>326</v>
      </c>
    </row>
    <row r="31" ht="55.5" customHeight="1">
      <c r="A31" s="32" t="s">
        <v>328</v>
      </c>
      <c r="B31" s="28" t="s">
        <v>329</v>
      </c>
      <c r="C31" s="28" t="s">
        <v>321</v>
      </c>
      <c r="D31" s="28" t="s">
        <v>330</v>
      </c>
      <c r="E31" s="28" t="s">
        <v>332</v>
      </c>
      <c r="F31" s="28" t="s">
        <v>333</v>
      </c>
    </row>
    <row r="32" ht="55.5" customHeight="1">
      <c r="A32" s="32" t="s">
        <v>325</v>
      </c>
      <c r="B32" s="28" t="s">
        <v>334</v>
      </c>
      <c r="C32" s="28" t="s">
        <v>198</v>
      </c>
      <c r="D32" s="28" t="s">
        <v>335</v>
      </c>
      <c r="E32" s="28" t="s">
        <v>336</v>
      </c>
      <c r="F32" s="28" t="s">
        <v>338</v>
      </c>
    </row>
    <row r="33" ht="55.5" customHeight="1">
      <c r="A33" s="32" t="s">
        <v>340</v>
      </c>
      <c r="B33" s="28" t="s">
        <v>341</v>
      </c>
      <c r="C33" s="28" t="s">
        <v>167</v>
      </c>
      <c r="D33" s="28" t="s">
        <v>342</v>
      </c>
      <c r="E33" s="28" t="s">
        <v>343</v>
      </c>
      <c r="F33" s="28" t="s">
        <v>344</v>
      </c>
    </row>
    <row r="34" ht="55.5" customHeight="1">
      <c r="A34" s="32" t="s">
        <v>346</v>
      </c>
      <c r="B34" s="28" t="s">
        <v>348</v>
      </c>
      <c r="C34" s="28" t="s">
        <v>183</v>
      </c>
      <c r="D34" s="28" t="s">
        <v>351</v>
      </c>
      <c r="E34" s="28" t="s">
        <v>220</v>
      </c>
      <c r="F34" s="28" t="s">
        <v>353</v>
      </c>
    </row>
    <row r="35" ht="15.75" customHeight="1"/>
    <row r="36" ht="15.75" customHeight="1"/>
    <row r="37" ht="15.75" customHeight="1">
      <c r="A37" s="54" t="s">
        <v>357</v>
      </c>
    </row>
    <row r="38" ht="15.75" customHeight="1">
      <c r="A38" s="57" t="s">
        <v>361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3:F5"/>
    <mergeCell ref="A37:F37"/>
    <mergeCell ref="A38:F4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9.0"/>
    <col customWidth="1" min="2" max="2" width="48.0"/>
    <col customWidth="1" min="3" max="3" width="24.0"/>
    <col customWidth="1" min="4" max="5" width="7.0"/>
    <col customWidth="1" min="6" max="6" width="10.0"/>
    <col customWidth="1" min="7" max="7" width="11.0"/>
    <col customWidth="1" min="8" max="8" width="18.0"/>
    <col customWidth="1" min="9" max="9" width="30.0"/>
    <col customWidth="1" min="10" max="10" width="18.0"/>
    <col customWidth="1" min="11" max="26" width="8.63"/>
  </cols>
  <sheetData>
    <row r="1" ht="30.0" customHeight="1">
      <c r="A1" s="35" t="s">
        <v>240</v>
      </c>
    </row>
    <row r="2" ht="33.75" customHeight="1">
      <c r="A2" s="36" t="s">
        <v>262</v>
      </c>
    </row>
    <row r="4">
      <c r="C4" s="37" t="s">
        <v>269</v>
      </c>
      <c r="I4" s="38" t="s">
        <v>273</v>
      </c>
    </row>
    <row r="5" ht="42.0" customHeight="1">
      <c r="C5" s="39" t="s">
        <v>281</v>
      </c>
      <c r="D5" s="39" t="s">
        <v>284</v>
      </c>
      <c r="E5" s="39" t="s">
        <v>285</v>
      </c>
      <c r="F5" s="39" t="s">
        <v>286</v>
      </c>
      <c r="G5" s="39" t="s">
        <v>287</v>
      </c>
      <c r="I5" s="40" t="s">
        <v>55</v>
      </c>
      <c r="J5" s="41" t="s">
        <v>57</v>
      </c>
    </row>
    <row r="6" ht="72.0" customHeight="1">
      <c r="A6" s="43" t="s">
        <v>298</v>
      </c>
      <c r="B6" s="44" t="s">
        <v>304</v>
      </c>
      <c r="C6" s="45" t="s">
        <v>310</v>
      </c>
      <c r="D6" s="46" t="s">
        <v>316</v>
      </c>
      <c r="E6" s="47" t="s">
        <v>323</v>
      </c>
      <c r="F6" s="49" t="s">
        <v>331</v>
      </c>
      <c r="G6" s="47" t="s">
        <v>339</v>
      </c>
      <c r="I6" s="50" t="s">
        <v>59</v>
      </c>
      <c r="J6" s="51" t="s">
        <v>61</v>
      </c>
    </row>
    <row r="7" ht="72.0" customHeight="1">
      <c r="B7" s="44" t="s">
        <v>347</v>
      </c>
      <c r="C7" s="52" t="s">
        <v>350</v>
      </c>
      <c r="D7" s="45" t="s">
        <v>352</v>
      </c>
      <c r="E7" s="53" t="s">
        <v>355</v>
      </c>
      <c r="F7" s="49" t="s">
        <v>358</v>
      </c>
      <c r="G7" s="49" t="s">
        <v>359</v>
      </c>
      <c r="I7" s="56" t="s">
        <v>64</v>
      </c>
      <c r="J7" s="58" t="s">
        <v>65</v>
      </c>
    </row>
    <row r="8" ht="72.0" customHeight="1">
      <c r="B8" s="44" t="s">
        <v>362</v>
      </c>
      <c r="C8" s="52" t="s">
        <v>363</v>
      </c>
      <c r="D8" s="45" t="s">
        <v>364</v>
      </c>
      <c r="E8" s="59" t="s">
        <v>365</v>
      </c>
      <c r="F8" s="60" t="s">
        <v>366</v>
      </c>
      <c r="G8" s="49" t="s">
        <v>367</v>
      </c>
      <c r="I8" s="61" t="s">
        <v>68</v>
      </c>
      <c r="J8" s="62" t="s">
        <v>69</v>
      </c>
    </row>
    <row r="9" ht="72.0" customHeight="1">
      <c r="B9" s="44" t="s">
        <v>368</v>
      </c>
      <c r="C9" s="52" t="s">
        <v>369</v>
      </c>
      <c r="D9" s="52" t="s">
        <v>350</v>
      </c>
      <c r="E9" s="45" t="s">
        <v>364</v>
      </c>
      <c r="F9" s="59" t="s">
        <v>370</v>
      </c>
      <c r="G9" s="53" t="s">
        <v>371</v>
      </c>
      <c r="I9" s="63" t="s">
        <v>373</v>
      </c>
      <c r="J9" s="64"/>
    </row>
    <row r="10" ht="72.0" customHeight="1">
      <c r="B10" s="44" t="s">
        <v>376</v>
      </c>
      <c r="C10" s="52" t="s">
        <v>377</v>
      </c>
      <c r="D10" s="52" t="s">
        <v>369</v>
      </c>
      <c r="E10" s="52" t="s">
        <v>363</v>
      </c>
      <c r="F10" s="52" t="s">
        <v>350</v>
      </c>
      <c r="G10" s="45" t="s">
        <v>310</v>
      </c>
      <c r="I10" s="65"/>
      <c r="J10" s="66"/>
    </row>
    <row r="11">
      <c r="I11" s="67"/>
      <c r="J11" s="68"/>
    </row>
    <row r="14">
      <c r="A14" s="69" t="s">
        <v>379</v>
      </c>
    </row>
    <row r="15">
      <c r="A15" s="13" t="s">
        <v>84</v>
      </c>
      <c r="B15" s="13" t="s">
        <v>86</v>
      </c>
      <c r="C15" s="13" t="s">
        <v>85</v>
      </c>
      <c r="D15" s="13" t="s">
        <v>193</v>
      </c>
      <c r="E15" s="13" t="s">
        <v>195</v>
      </c>
      <c r="F15" s="13" t="s">
        <v>90</v>
      </c>
      <c r="G15" s="13" t="s">
        <v>52</v>
      </c>
      <c r="H15" s="13" t="s">
        <v>91</v>
      </c>
      <c r="I15" s="13" t="s">
        <v>54</v>
      </c>
      <c r="J15" s="13" t="s">
        <v>380</v>
      </c>
    </row>
    <row r="16" ht="42.0" customHeight="1">
      <c r="A16" s="70" t="s">
        <v>148</v>
      </c>
      <c r="B16" s="71" t="s">
        <v>150</v>
      </c>
      <c r="C16" s="71" t="s">
        <v>149</v>
      </c>
      <c r="D16" s="72">
        <v>4.0</v>
      </c>
      <c r="E16" s="72">
        <v>5.0</v>
      </c>
      <c r="F16" s="72">
        <v>20.0</v>
      </c>
      <c r="G16" s="72" t="s">
        <v>69</v>
      </c>
      <c r="H16" s="71" t="s">
        <v>105</v>
      </c>
      <c r="I16" s="71" t="s">
        <v>158</v>
      </c>
      <c r="J16" s="71" t="s">
        <v>165</v>
      </c>
    </row>
    <row r="17" ht="42.0" customHeight="1">
      <c r="A17" s="70" t="s">
        <v>228</v>
      </c>
      <c r="B17" s="71" t="s">
        <v>250</v>
      </c>
      <c r="C17" s="71" t="s">
        <v>384</v>
      </c>
      <c r="D17" s="72">
        <v>5.0</v>
      </c>
      <c r="E17" s="72">
        <v>4.0</v>
      </c>
      <c r="F17" s="72">
        <v>20.0</v>
      </c>
      <c r="G17" s="72" t="s">
        <v>69</v>
      </c>
      <c r="H17" s="71" t="s">
        <v>105</v>
      </c>
      <c r="I17" s="71" t="s">
        <v>385</v>
      </c>
      <c r="J17" s="71" t="s">
        <v>386</v>
      </c>
    </row>
    <row r="18" ht="42.0" customHeight="1">
      <c r="A18" s="70" t="s">
        <v>99</v>
      </c>
      <c r="B18" s="71" t="s">
        <v>101</v>
      </c>
      <c r="C18" s="71" t="s">
        <v>100</v>
      </c>
      <c r="D18" s="72">
        <v>4.0</v>
      </c>
      <c r="E18" s="72">
        <v>4.0</v>
      </c>
      <c r="F18" s="72">
        <v>16.0</v>
      </c>
      <c r="G18" s="72" t="s">
        <v>69</v>
      </c>
      <c r="H18" s="71" t="s">
        <v>105</v>
      </c>
      <c r="I18" s="71" t="s">
        <v>118</v>
      </c>
      <c r="J18" s="71" t="s">
        <v>137</v>
      </c>
    </row>
    <row r="19" ht="42.0" customHeight="1">
      <c r="A19" s="70" t="s">
        <v>234</v>
      </c>
      <c r="B19" s="71" t="s">
        <v>291</v>
      </c>
      <c r="C19" s="71" t="s">
        <v>388</v>
      </c>
      <c r="D19" s="72">
        <v>4.0</v>
      </c>
      <c r="E19" s="72">
        <v>4.0</v>
      </c>
      <c r="F19" s="72">
        <v>16.0</v>
      </c>
      <c r="G19" s="72" t="s">
        <v>69</v>
      </c>
      <c r="H19" s="71" t="s">
        <v>105</v>
      </c>
      <c r="I19" s="71" t="s">
        <v>389</v>
      </c>
      <c r="J19" s="71" t="s">
        <v>390</v>
      </c>
    </row>
    <row r="20" ht="42.0" customHeight="1">
      <c r="A20" s="70" t="s">
        <v>276</v>
      </c>
      <c r="B20" s="71" t="s">
        <v>318</v>
      </c>
      <c r="C20" s="71" t="s">
        <v>391</v>
      </c>
      <c r="D20" s="72">
        <v>4.0</v>
      </c>
      <c r="E20" s="72">
        <v>4.0</v>
      </c>
      <c r="F20" s="72">
        <v>16.0</v>
      </c>
      <c r="G20" s="72" t="s">
        <v>69</v>
      </c>
      <c r="H20" s="71" t="s">
        <v>105</v>
      </c>
      <c r="I20" s="71" t="s">
        <v>392</v>
      </c>
      <c r="J20" s="71" t="s">
        <v>393</v>
      </c>
    </row>
    <row r="21" ht="42.0" customHeight="1">
      <c r="A21" s="70" t="s">
        <v>325</v>
      </c>
      <c r="B21" s="71" t="s">
        <v>327</v>
      </c>
      <c r="C21" s="71" t="s">
        <v>394</v>
      </c>
      <c r="D21" s="72">
        <v>4.0</v>
      </c>
      <c r="E21" s="72">
        <v>4.0</v>
      </c>
      <c r="F21" s="72">
        <v>16.0</v>
      </c>
      <c r="G21" s="72" t="s">
        <v>69</v>
      </c>
      <c r="H21" s="71" t="s">
        <v>105</v>
      </c>
      <c r="I21" s="71" t="s">
        <v>395</v>
      </c>
      <c r="J21" s="71" t="s">
        <v>165</v>
      </c>
    </row>
    <row r="22" ht="42.0" customHeight="1">
      <c r="A22" s="70" t="s">
        <v>181</v>
      </c>
      <c r="B22" s="71" t="s">
        <v>205</v>
      </c>
      <c r="C22" s="71" t="s">
        <v>200</v>
      </c>
      <c r="D22" s="72">
        <v>3.0</v>
      </c>
      <c r="E22" s="72">
        <v>5.0</v>
      </c>
      <c r="F22" s="72">
        <v>15.0</v>
      </c>
      <c r="G22" s="72" t="s">
        <v>69</v>
      </c>
      <c r="H22" s="71" t="s">
        <v>105</v>
      </c>
      <c r="I22" s="71" t="s">
        <v>247</v>
      </c>
      <c r="J22" s="71" t="s">
        <v>261</v>
      </c>
    </row>
    <row r="23" ht="42.0" customHeight="1">
      <c r="A23" s="70" t="s">
        <v>204</v>
      </c>
      <c r="B23" s="71" t="s">
        <v>360</v>
      </c>
      <c r="C23" s="71" t="s">
        <v>396</v>
      </c>
      <c r="D23" s="72">
        <v>3.0</v>
      </c>
      <c r="E23" s="72">
        <v>5.0</v>
      </c>
      <c r="F23" s="72">
        <v>15.0</v>
      </c>
      <c r="G23" s="72" t="s">
        <v>69</v>
      </c>
      <c r="H23" s="71" t="s">
        <v>105</v>
      </c>
      <c r="I23" s="71" t="s">
        <v>398</v>
      </c>
      <c r="J23" s="71" t="s">
        <v>399</v>
      </c>
    </row>
    <row r="24" ht="42.0" customHeight="1">
      <c r="A24" s="70" t="s">
        <v>188</v>
      </c>
      <c r="B24" s="71" t="s">
        <v>302</v>
      </c>
      <c r="C24" s="71" t="s">
        <v>296</v>
      </c>
      <c r="D24" s="72">
        <v>4.0</v>
      </c>
      <c r="E24" s="72">
        <v>3.0</v>
      </c>
      <c r="F24" s="72">
        <v>12.0</v>
      </c>
      <c r="G24" s="72" t="s">
        <v>65</v>
      </c>
      <c r="H24" s="71" t="s">
        <v>105</v>
      </c>
      <c r="I24" s="71" t="s">
        <v>354</v>
      </c>
      <c r="J24" s="71" t="s">
        <v>261</v>
      </c>
    </row>
    <row r="25" ht="42.0" customHeight="1">
      <c r="A25" s="70" t="s">
        <v>196</v>
      </c>
      <c r="B25" s="71" t="s">
        <v>374</v>
      </c>
      <c r="C25" s="71" t="s">
        <v>372</v>
      </c>
      <c r="D25" s="72">
        <v>3.0</v>
      </c>
      <c r="E25" s="72">
        <v>4.0</v>
      </c>
      <c r="F25" s="72">
        <v>12.0</v>
      </c>
      <c r="G25" s="72" t="s">
        <v>65</v>
      </c>
      <c r="H25" s="71" t="s">
        <v>105</v>
      </c>
      <c r="I25" s="71" t="s">
        <v>383</v>
      </c>
      <c r="J25" s="71" t="s">
        <v>397</v>
      </c>
    </row>
    <row r="26" ht="42.0" customHeight="1">
      <c r="A26" s="70" t="s">
        <v>211</v>
      </c>
      <c r="B26" s="71" t="s">
        <v>400</v>
      </c>
      <c r="C26" s="71" t="s">
        <v>401</v>
      </c>
      <c r="D26" s="72">
        <v>3.0</v>
      </c>
      <c r="E26" s="72">
        <v>4.0</v>
      </c>
      <c r="F26" s="72">
        <v>12.0</v>
      </c>
      <c r="G26" s="72" t="s">
        <v>65</v>
      </c>
      <c r="H26" s="71" t="s">
        <v>105</v>
      </c>
      <c r="I26" s="71" t="s">
        <v>402</v>
      </c>
      <c r="J26" s="71" t="s">
        <v>261</v>
      </c>
    </row>
    <row r="27" ht="42.0" customHeight="1">
      <c r="A27" s="70" t="s">
        <v>257</v>
      </c>
      <c r="B27" s="71" t="s">
        <v>403</v>
      </c>
      <c r="C27" s="71" t="s">
        <v>404</v>
      </c>
      <c r="D27" s="72">
        <v>3.0</v>
      </c>
      <c r="E27" s="72">
        <v>4.0</v>
      </c>
      <c r="F27" s="72">
        <v>12.0</v>
      </c>
      <c r="G27" s="72" t="s">
        <v>65</v>
      </c>
      <c r="H27" s="71" t="s">
        <v>105</v>
      </c>
      <c r="I27" s="71" t="s">
        <v>405</v>
      </c>
      <c r="J27" s="71" t="s">
        <v>406</v>
      </c>
    </row>
    <row r="28" ht="42.0" customHeight="1">
      <c r="A28" s="70" t="s">
        <v>294</v>
      </c>
      <c r="B28" s="71" t="s">
        <v>407</v>
      </c>
      <c r="C28" s="71" t="s">
        <v>408</v>
      </c>
      <c r="D28" s="72">
        <v>3.0</v>
      </c>
      <c r="E28" s="72">
        <v>4.0</v>
      </c>
      <c r="F28" s="72">
        <v>12.0</v>
      </c>
      <c r="G28" s="72" t="s">
        <v>65</v>
      </c>
      <c r="H28" s="71" t="s">
        <v>105</v>
      </c>
      <c r="I28" s="71" t="s">
        <v>409</v>
      </c>
      <c r="J28" s="71" t="s">
        <v>410</v>
      </c>
    </row>
    <row r="29" ht="42.0" customHeight="1">
      <c r="A29" s="70" t="s">
        <v>311</v>
      </c>
      <c r="B29" s="71" t="s">
        <v>411</v>
      </c>
      <c r="C29" s="71" t="s">
        <v>412</v>
      </c>
      <c r="D29" s="72">
        <v>3.0</v>
      </c>
      <c r="E29" s="72">
        <v>4.0</v>
      </c>
      <c r="F29" s="72">
        <v>12.0</v>
      </c>
      <c r="G29" s="72" t="s">
        <v>65</v>
      </c>
      <c r="H29" s="71" t="s">
        <v>105</v>
      </c>
      <c r="I29" s="71" t="s">
        <v>413</v>
      </c>
      <c r="J29" s="71" t="s">
        <v>414</v>
      </c>
    </row>
    <row r="30" ht="42.0" customHeight="1">
      <c r="A30" s="70" t="s">
        <v>319</v>
      </c>
      <c r="B30" s="71" t="s">
        <v>415</v>
      </c>
      <c r="C30" s="71" t="s">
        <v>416</v>
      </c>
      <c r="D30" s="72">
        <v>3.0</v>
      </c>
      <c r="E30" s="72">
        <v>4.0</v>
      </c>
      <c r="F30" s="72">
        <v>12.0</v>
      </c>
      <c r="G30" s="72" t="s">
        <v>65</v>
      </c>
      <c r="H30" s="71" t="s">
        <v>417</v>
      </c>
      <c r="I30" s="71" t="s">
        <v>392</v>
      </c>
      <c r="J30" s="71" t="s">
        <v>418</v>
      </c>
    </row>
    <row r="31" ht="42.0" customHeight="1">
      <c r="A31" s="70" t="s">
        <v>328</v>
      </c>
      <c r="B31" s="71" t="s">
        <v>419</v>
      </c>
      <c r="C31" s="71" t="s">
        <v>420</v>
      </c>
      <c r="D31" s="72">
        <v>3.0</v>
      </c>
      <c r="E31" s="72">
        <v>4.0</v>
      </c>
      <c r="F31" s="72">
        <v>12.0</v>
      </c>
      <c r="G31" s="72" t="s">
        <v>65</v>
      </c>
      <c r="H31" s="71" t="s">
        <v>105</v>
      </c>
      <c r="I31" s="71" t="s">
        <v>392</v>
      </c>
      <c r="J31" s="71" t="s">
        <v>421</v>
      </c>
    </row>
    <row r="32" ht="42.0" customHeight="1">
      <c r="A32" s="70" t="s">
        <v>340</v>
      </c>
      <c r="B32" s="71" t="s">
        <v>422</v>
      </c>
      <c r="C32" s="71" t="s">
        <v>423</v>
      </c>
      <c r="D32" s="72">
        <v>3.0</v>
      </c>
      <c r="E32" s="72">
        <v>4.0</v>
      </c>
      <c r="F32" s="72">
        <v>12.0</v>
      </c>
      <c r="G32" s="72" t="s">
        <v>65</v>
      </c>
      <c r="H32" s="71" t="s">
        <v>105</v>
      </c>
      <c r="I32" s="71" t="s">
        <v>395</v>
      </c>
      <c r="J32" s="71" t="s">
        <v>137</v>
      </c>
    </row>
    <row r="33" ht="42.0" customHeight="1">
      <c r="A33" s="70" t="s">
        <v>346</v>
      </c>
      <c r="B33" s="71" t="s">
        <v>424</v>
      </c>
      <c r="C33" s="71" t="s">
        <v>425</v>
      </c>
      <c r="D33" s="72">
        <v>3.0</v>
      </c>
      <c r="E33" s="72">
        <v>4.0</v>
      </c>
      <c r="F33" s="72">
        <v>12.0</v>
      </c>
      <c r="G33" s="72" t="s">
        <v>65</v>
      </c>
      <c r="H33" s="71" t="s">
        <v>105</v>
      </c>
      <c r="I33" s="71" t="s">
        <v>426</v>
      </c>
      <c r="J33" s="71" t="s">
        <v>427</v>
      </c>
    </row>
    <row r="34" ht="42.0" customHeight="1">
      <c r="A34" s="70" t="s">
        <v>241</v>
      </c>
      <c r="B34" s="71" t="s">
        <v>428</v>
      </c>
      <c r="C34" s="71" t="s">
        <v>429</v>
      </c>
      <c r="D34" s="72">
        <v>2.0</v>
      </c>
      <c r="E34" s="72">
        <v>5.0</v>
      </c>
      <c r="F34" s="72">
        <v>10.0</v>
      </c>
      <c r="G34" s="72" t="s">
        <v>65</v>
      </c>
      <c r="H34" s="71" t="s">
        <v>105</v>
      </c>
      <c r="I34" s="71" t="s">
        <v>430</v>
      </c>
      <c r="J34" s="71" t="s">
        <v>137</v>
      </c>
    </row>
    <row r="35" ht="42.0" customHeight="1">
      <c r="A35" s="70" t="s">
        <v>248</v>
      </c>
      <c r="B35" s="71" t="s">
        <v>431</v>
      </c>
      <c r="C35" s="71" t="s">
        <v>432</v>
      </c>
      <c r="D35" s="72">
        <v>2.0</v>
      </c>
      <c r="E35" s="72">
        <v>5.0</v>
      </c>
      <c r="F35" s="72">
        <v>10.0</v>
      </c>
      <c r="G35" s="72" t="s">
        <v>65</v>
      </c>
      <c r="H35" s="71" t="s">
        <v>433</v>
      </c>
      <c r="I35" s="71" t="s">
        <v>395</v>
      </c>
      <c r="J35" s="71" t="s">
        <v>434</v>
      </c>
    </row>
    <row r="36" ht="42.0" customHeight="1">
      <c r="A36" s="70" t="s">
        <v>264</v>
      </c>
      <c r="B36" s="71" t="s">
        <v>436</v>
      </c>
      <c r="C36" s="71" t="s">
        <v>437</v>
      </c>
      <c r="D36" s="72">
        <v>2.0</v>
      </c>
      <c r="E36" s="72">
        <v>5.0</v>
      </c>
      <c r="F36" s="72">
        <v>10.0</v>
      </c>
      <c r="G36" s="72" t="s">
        <v>65</v>
      </c>
      <c r="H36" s="71" t="s">
        <v>433</v>
      </c>
      <c r="I36" s="71" t="s">
        <v>438</v>
      </c>
      <c r="J36" s="71" t="s">
        <v>261</v>
      </c>
    </row>
    <row r="37" ht="42.0" customHeight="1">
      <c r="A37" s="70" t="s">
        <v>270</v>
      </c>
      <c r="B37" s="71" t="s">
        <v>439</v>
      </c>
      <c r="C37" s="71" t="s">
        <v>440</v>
      </c>
      <c r="D37" s="72">
        <v>2.0</v>
      </c>
      <c r="E37" s="72">
        <v>5.0</v>
      </c>
      <c r="F37" s="72">
        <v>10.0</v>
      </c>
      <c r="G37" s="72" t="s">
        <v>65</v>
      </c>
      <c r="H37" s="71" t="s">
        <v>105</v>
      </c>
      <c r="I37" s="71" t="s">
        <v>438</v>
      </c>
      <c r="J37" s="71" t="s">
        <v>442</v>
      </c>
    </row>
    <row r="38" ht="42.0" customHeight="1">
      <c r="A38" s="70" t="s">
        <v>138</v>
      </c>
      <c r="B38" s="71" t="s">
        <v>140</v>
      </c>
      <c r="C38" s="71" t="s">
        <v>139</v>
      </c>
      <c r="D38" s="72">
        <v>3.0</v>
      </c>
      <c r="E38" s="72">
        <v>3.0</v>
      </c>
      <c r="F38" s="72">
        <v>9.0</v>
      </c>
      <c r="G38" s="72" t="s">
        <v>61</v>
      </c>
      <c r="H38" s="71" t="s">
        <v>105</v>
      </c>
      <c r="I38" s="71" t="s">
        <v>145</v>
      </c>
      <c r="J38" s="71" t="s">
        <v>147</v>
      </c>
    </row>
    <row r="39" ht="42.0" customHeight="1">
      <c r="A39" s="70" t="s">
        <v>217</v>
      </c>
      <c r="B39" s="71" t="s">
        <v>443</v>
      </c>
      <c r="C39" s="71" t="s">
        <v>444</v>
      </c>
      <c r="D39" s="72">
        <v>3.0</v>
      </c>
      <c r="E39" s="72">
        <v>3.0</v>
      </c>
      <c r="F39" s="72">
        <v>9.0</v>
      </c>
      <c r="G39" s="72" t="s">
        <v>61</v>
      </c>
      <c r="H39" s="71" t="s">
        <v>105</v>
      </c>
      <c r="I39" s="71" t="s">
        <v>402</v>
      </c>
      <c r="J39" s="71" t="s">
        <v>445</v>
      </c>
    </row>
    <row r="40" ht="42.0" customHeight="1">
      <c r="A40" s="70" t="s">
        <v>222</v>
      </c>
      <c r="B40" s="71" t="s">
        <v>446</v>
      </c>
      <c r="C40" s="71" t="s">
        <v>447</v>
      </c>
      <c r="D40" s="72">
        <v>3.0</v>
      </c>
      <c r="E40" s="72">
        <v>3.0</v>
      </c>
      <c r="F40" s="72">
        <v>9.0</v>
      </c>
      <c r="G40" s="72" t="s">
        <v>61</v>
      </c>
      <c r="H40" s="71" t="s">
        <v>105</v>
      </c>
      <c r="I40" s="71" t="s">
        <v>430</v>
      </c>
      <c r="J40" s="71" t="s">
        <v>410</v>
      </c>
    </row>
    <row r="41" ht="42.0" customHeight="1">
      <c r="A41" s="70" t="s">
        <v>283</v>
      </c>
      <c r="B41" s="71" t="s">
        <v>448</v>
      </c>
      <c r="C41" s="71" t="s">
        <v>449</v>
      </c>
      <c r="D41" s="72">
        <v>3.0</v>
      </c>
      <c r="E41" s="72">
        <v>3.0</v>
      </c>
      <c r="F41" s="72">
        <v>9.0</v>
      </c>
      <c r="G41" s="72" t="s">
        <v>61</v>
      </c>
      <c r="H41" s="71" t="s">
        <v>105</v>
      </c>
      <c r="I41" s="71" t="s">
        <v>392</v>
      </c>
      <c r="J41" s="71" t="s">
        <v>450</v>
      </c>
    </row>
    <row r="42" ht="42.0" customHeight="1">
      <c r="A42" s="70" t="s">
        <v>303</v>
      </c>
      <c r="B42" s="71" t="s">
        <v>451</v>
      </c>
      <c r="C42" s="71" t="s">
        <v>452</v>
      </c>
      <c r="D42" s="72">
        <v>2.0</v>
      </c>
      <c r="E42" s="72">
        <v>4.0</v>
      </c>
      <c r="F42" s="72">
        <v>8.0</v>
      </c>
      <c r="G42" s="72" t="s">
        <v>61</v>
      </c>
      <c r="H42" s="71" t="s">
        <v>105</v>
      </c>
      <c r="I42" s="71" t="s">
        <v>453</v>
      </c>
      <c r="J42" s="71" t="s">
        <v>454</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J1"/>
    <mergeCell ref="A2:J2"/>
    <mergeCell ref="C4:G4"/>
    <mergeCell ref="I4:J4"/>
    <mergeCell ref="A6:A10"/>
    <mergeCell ref="I9:J11"/>
    <mergeCell ref="A14:J14"/>
  </mergeCells>
  <printOptions/>
  <pageMargins bottom="0.75" footer="0.0" header="0.0" left="0.7" right="0.7" top="0.75"/>
  <pageSetup orientation="landscape"/>
  <drawing r:id="rId1"/>
</worksheet>
</file>